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CU_a_ingresos" sheetId="2" state="visible" r:id="rId2"/>
    <sheet xmlns:r="http://schemas.openxmlformats.org/officeDocument/2006/relationships" name="Objetivos_ingresos" sheetId="3" state="visible" r:id="rId3"/>
    <sheet xmlns:r="http://schemas.openxmlformats.org/officeDocument/2006/relationships" name="Simulador_cohortes" sheetId="4" state="visible" r:id="rId4"/>
    <sheet xmlns:r="http://schemas.openxmlformats.org/officeDocument/2006/relationships" name="Escenarios_24m" sheetId="5" state="visible" r:id="rId5"/>
    <sheet xmlns:r="http://schemas.openxmlformats.org/officeDocument/2006/relationships" name="Matriz_conceptos" sheetId="6" state="visible" r:id="rId6"/>
    <sheet xmlns:r="http://schemas.openxmlformats.org/officeDocument/2006/relationships" name="Economia_juego" sheetId="7" state="visible" r:id="rId7"/>
    <sheet xmlns:r="http://schemas.openxmlformats.org/officeDocument/2006/relationships" name="Competi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1" t="inlineStr">
        <is>
          <t>Supuestos del modelo (celdas amarillas = editables). Fecha de referencia: 22-10-2026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Descripción</t>
        </is>
      </c>
    </row>
    <row r="4">
      <c r="A4" t="inlineStr">
        <is>
          <t>cuota_creador</t>
        </is>
      </c>
      <c r="B4" s="3" t="n">
        <v>0.7</v>
      </c>
      <c r="C4" t="inlineStr">
        <is>
          <t>Parte de los Robux gastados que recibe el creador (pases y productos)</t>
        </is>
      </c>
    </row>
    <row r="5">
      <c r="A5" t="inlineStr">
        <is>
          <t>devex_estandar</t>
        </is>
      </c>
      <c r="B5" s="3" t="n">
        <v>0.0038</v>
      </c>
      <c r="C5" t="inlineStr">
        <is>
          <t>USD por Earned Robux (desde 05-09-2025)</t>
        </is>
      </c>
    </row>
    <row r="6">
      <c r="A6" t="inlineStr">
        <is>
          <t>devex_18us</t>
        </is>
      </c>
      <c r="B6" s="3" t="n">
        <v>0.0054</v>
      </c>
      <c r="C6" t="inlineStr">
        <is>
          <t>USD por Earned Robux elegible de EE. UU. 18+ (desde 08-06-2026)</t>
        </is>
      </c>
    </row>
    <row r="7">
      <c r="A7" t="inlineStr">
        <is>
          <t>eurusd</t>
        </is>
      </c>
      <c r="B7" s="3" t="n">
        <v>1.1215</v>
      </c>
      <c r="C7" t="inlineStr">
        <is>
          <t>USD por EUR, BCE 20-10-2026</t>
        </is>
      </c>
    </row>
    <row r="8">
      <c r="A8" t="inlineStr">
        <is>
          <t>recompensa_diaria</t>
        </is>
      </c>
      <c r="B8" s="3" t="n">
        <v>5</v>
      </c>
      <c r="C8" t="inlineStr">
        <is>
          <t>R$ por usuario cualificado/día (Creator Rewards)</t>
        </is>
      </c>
    </row>
    <row r="9">
      <c r="A9" t="inlineStr">
        <is>
          <t>dias_mes</t>
        </is>
      </c>
      <c r="B9" s="3" t="n">
        <v>30.4</v>
      </c>
      <c r="C9" t="inlineStr">
        <is>
          <t>Días por mes</t>
        </is>
      </c>
    </row>
    <row r="10">
      <c r="A10" t="inlineStr">
        <is>
          <t>sesiones_dia</t>
        </is>
      </c>
      <c r="B10" s="3" t="n">
        <v>1.6</v>
      </c>
      <c r="C10" t="inlineStr">
        <is>
          <t>HIPÓTESIS: sesiones por DAU y día</t>
        </is>
      </c>
    </row>
    <row r="11">
      <c r="A11" t="inlineStr">
        <is>
          <t>minutos_sesion</t>
        </is>
      </c>
      <c r="B11" s="3" t="n">
        <v>14</v>
      </c>
      <c r="C11" t="inlineStr">
        <is>
          <t>HIPÓTESIS: minutos por sesión</t>
        </is>
      </c>
    </row>
    <row r="12">
      <c r="A12" t="inlineStr">
        <is>
          <t>conversion</t>
        </is>
      </c>
      <c r="B12" s="3" t="n">
        <v>0.025</v>
      </c>
      <c r="C12" t="inlineStr">
        <is>
          <t>HIPÓTESIS: % de DAU que paga en el día (monetización media)</t>
        </is>
      </c>
    </row>
    <row r="13">
      <c r="A13" t="inlineStr">
        <is>
          <t>arppu_rs</t>
        </is>
      </c>
      <c r="B13" s="3" t="n">
        <v>60</v>
      </c>
      <c r="C13" t="inlineStr">
        <is>
          <t>HIPÓTESIS: R$ brutos por pagador y día</t>
        </is>
      </c>
    </row>
    <row r="14">
      <c r="A14" t="inlineStr">
        <is>
          <t>cualificados_cr</t>
        </is>
      </c>
      <c r="B14" s="3" t="n">
        <v>0.05</v>
      </c>
      <c r="C14" t="inlineStr">
        <is>
          <t>HIPÓTESIS: % de DAU que cuenta para Creator Rewards</t>
        </is>
      </c>
    </row>
    <row r="15">
      <c r="A15" t="inlineStr">
        <is>
          <t>cuota_18us</t>
        </is>
      </c>
      <c r="B15" s="3" t="n">
        <v>0.05</v>
      </c>
      <c r="C15" t="inlineStr">
        <is>
          <t>HIPÓTESIS: % de Earned Robux de compras a la tasa 18+ EE. UU.</t>
        </is>
      </c>
    </row>
    <row r="16">
      <c r="A16" t="inlineStr">
        <is>
          <t>coste_herramientas</t>
        </is>
      </c>
      <c r="B16" s="3" t="n">
        <v>120</v>
      </c>
      <c r="C16" t="inlineStr">
        <is>
          <t>HIPÓTESIS: €/mes suscripciones IA (2 socios)</t>
        </is>
      </c>
    </row>
    <row r="17">
      <c r="A17" t="inlineStr">
        <is>
          <t>coste_contenido</t>
        </is>
      </c>
      <c r="B17" s="3" t="n">
        <v>100</v>
      </c>
      <c r="C17" t="inlineStr">
        <is>
          <t>HIPÓTESIS: €/mes arte y sonido</t>
        </is>
      </c>
    </row>
    <row r="18">
      <c r="A18" t="inlineStr">
        <is>
          <t>coste_otros</t>
        </is>
      </c>
      <c r="B18" s="3" t="n">
        <v>30</v>
      </c>
      <c r="C18" t="inlineStr">
        <is>
          <t>HIPÓTESIS: €/mes otros</t>
        </is>
      </c>
    </row>
    <row r="19">
      <c r="A19" t="inlineStr">
        <is>
          <t>marketing_mes</t>
        </is>
      </c>
      <c r="B19" s="3" t="n">
        <v>100</v>
      </c>
      <c r="C19" t="inlineStr">
        <is>
          <t>HIPÓTESIS: €/mes marketing</t>
        </is>
      </c>
    </row>
    <row r="20">
      <c r="A20" t="inlineStr">
        <is>
          <t>horas_mantenimiento</t>
        </is>
      </c>
      <c r="B20" s="3" t="n">
        <v>100</v>
      </c>
      <c r="C20" t="inlineStr">
        <is>
          <t>HIPÓTESIS: horas/mes de ambos socios tras el lanzamiento</t>
        </is>
      </c>
    </row>
    <row r="21">
      <c r="A21" t="inlineStr">
        <is>
          <t>coste_hora</t>
        </is>
      </c>
      <c r="B21" s="3" t="n">
        <v>15</v>
      </c>
      <c r="C21" t="inlineStr">
        <is>
          <t>HIPÓTESIS: €/h de coste de oportunidad por socio</t>
        </is>
      </c>
    </row>
    <row r="22">
      <c r="A22" t="inlineStr">
        <is>
          <t>cpp_usd</t>
        </is>
      </c>
      <c r="B22" s="3" t="n">
        <v>0.03</v>
      </c>
      <c r="C22" t="inlineStr">
        <is>
          <t>HIPÓTESIS: USD por partida en Ads Manager</t>
        </is>
      </c>
    </row>
    <row r="24">
      <c r="A24" s="2" t="inlineStr">
        <is>
          <t>Derivados</t>
        </is>
      </c>
    </row>
    <row r="25">
      <c r="A25" t="inlineStr">
        <is>
          <t>dau_por_ccu</t>
        </is>
      </c>
      <c r="B25">
        <f>1440/(Supuestos!$B$10*Supuestos!$B$11)</f>
        <v/>
      </c>
    </row>
    <row r="26">
      <c r="A26" t="inlineStr">
        <is>
          <t>arpdau_rs</t>
        </is>
      </c>
      <c r="B26">
        <f>Supuestos!$B$12*Supuestos!$B$13</f>
        <v/>
      </c>
    </row>
    <row r="27">
      <c r="A27" t="inlineStr">
        <is>
          <t>usd_por_dau_dia</t>
        </is>
      </c>
      <c r="B27">
        <f>Supuestos!$B$26*Supuestos!$B$4*((1-Supuestos!$B$15)*Supuestos!$B$5+Supuestos!$B$15*Supuestos!$B$6)+Supuestos!$B$14*Supuestos!$B$8*Supuestos!$B$5</f>
        <v/>
      </c>
    </row>
    <row r="28">
      <c r="A28" t="inlineStr">
        <is>
          <t>eur_por_ccu_mes</t>
        </is>
      </c>
      <c r="B28">
        <f>Supuestos!$B$25*Supuestos!$B$27*Supuestos!$B$9/Supuestos!$B$7</f>
        <v/>
      </c>
    </row>
    <row r="29">
      <c r="A29" t="inlineStr">
        <is>
          <t>costes_fijos_mes</t>
        </is>
      </c>
      <c r="B29">
        <f>Supuestos!$B$16+Supuestos!$B$17+Supuestos!$B$18+Supuestos!$B$19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Conversión CCU → ingresos con los supuestos de la hoja Supuestos (monetización media editable)</t>
        </is>
      </c>
    </row>
    <row r="2">
      <c r="A2" s="2" t="inlineStr">
        <is>
          <t>CCU medio</t>
        </is>
      </c>
      <c r="B2" s="2" t="inlineStr">
        <is>
          <t>DAU</t>
        </is>
      </c>
      <c r="C2" s="2" t="inlineStr">
        <is>
          <t>Pagadores/día</t>
        </is>
      </c>
      <c r="D2" s="2" t="inlineStr">
        <is>
          <t>R$ brutos/día</t>
        </is>
      </c>
      <c r="E2" s="2" t="inlineStr">
        <is>
          <t>Earned R$/mes</t>
        </is>
      </c>
      <c r="F2" s="2" t="inlineStr">
        <is>
          <t>USD/mes</t>
        </is>
      </c>
      <c r="G2" s="2" t="inlineStr">
        <is>
          <t>EUR/mes</t>
        </is>
      </c>
      <c r="H2" s="2" t="inlineStr">
        <is>
          <t>EUR/año</t>
        </is>
      </c>
      <c r="I2" s="2" t="inlineStr">
        <is>
          <t>Costes EUR/mes</t>
        </is>
      </c>
      <c r="J2" s="2" t="inlineStr">
        <is>
          <t>Beneficio operativo EUR/mes</t>
        </is>
      </c>
      <c r="K2" s="2" t="inlineStr">
        <is>
          <t>Por socio EUR/mes</t>
        </is>
      </c>
      <c r="L2" s="2" t="inlineStr">
        <is>
          <t>Beneficio con coste oportunidad</t>
        </is>
      </c>
    </row>
    <row r="3">
      <c r="A3" s="3" t="n">
        <v>10</v>
      </c>
      <c r="B3">
        <f>A3*Supuestos!$B$25</f>
        <v/>
      </c>
      <c r="C3">
        <f>B3*Supuestos!$B$12</f>
        <v/>
      </c>
      <c r="D3">
        <f>B3*Supuestos!$B$26</f>
        <v/>
      </c>
      <c r="E3">
        <f>(D3*Supuestos!$B$4+B3*Supuestos!$B$14*Supuestos!$B$8)*Supuestos!$B$9</f>
        <v/>
      </c>
      <c r="F3">
        <f>B3*Supuestos!$B$27*Supuestos!$B$9</f>
        <v/>
      </c>
      <c r="G3">
        <f>F3/Supuestos!$B$7</f>
        <v/>
      </c>
      <c r="H3">
        <f>G3*12</f>
        <v/>
      </c>
      <c r="I3">
        <f>Supuestos!$B$29+IF(G3&gt;=10000,0.15*G3,IF(G3&gt;=3000,0.1*G3,0))</f>
        <v/>
      </c>
      <c r="J3">
        <f>G3-I3</f>
        <v/>
      </c>
      <c r="K3">
        <f>J3/2</f>
        <v/>
      </c>
      <c r="L3">
        <f>J3-Supuestos!$B$20*Supuestos!$B$21</f>
        <v/>
      </c>
    </row>
    <row r="4">
      <c r="A4" s="3" t="n">
        <v>50</v>
      </c>
      <c r="B4">
        <f>A4*Supuestos!$B$25</f>
        <v/>
      </c>
      <c r="C4">
        <f>B4*Supuestos!$B$12</f>
        <v/>
      </c>
      <c r="D4">
        <f>B4*Supuestos!$B$26</f>
        <v/>
      </c>
      <c r="E4">
        <f>(D4*Supuestos!$B$4+B4*Supuestos!$B$14*Supuestos!$B$8)*Supuestos!$B$9</f>
        <v/>
      </c>
      <c r="F4">
        <f>B4*Supuestos!$B$27*Supuestos!$B$9</f>
        <v/>
      </c>
      <c r="G4">
        <f>F4/Supuestos!$B$7</f>
        <v/>
      </c>
      <c r="H4">
        <f>G4*12</f>
        <v/>
      </c>
      <c r="I4">
        <f>Supuestos!$B$29+IF(G4&gt;=10000,0.15*G4,IF(G4&gt;=3000,0.1*G4,0))</f>
        <v/>
      </c>
      <c r="J4">
        <f>G4-I4</f>
        <v/>
      </c>
      <c r="K4">
        <f>J4/2</f>
        <v/>
      </c>
      <c r="L4">
        <f>J4-Supuestos!$B$20*Supuestos!$B$21</f>
        <v/>
      </c>
    </row>
    <row r="5">
      <c r="A5" s="3" t="n">
        <v>100</v>
      </c>
      <c r="B5">
        <f>A5*Supuestos!$B$25</f>
        <v/>
      </c>
      <c r="C5">
        <f>B5*Supuestos!$B$12</f>
        <v/>
      </c>
      <c r="D5">
        <f>B5*Supuestos!$B$26</f>
        <v/>
      </c>
      <c r="E5">
        <f>(D5*Supuestos!$B$4+B5*Supuestos!$B$14*Supuestos!$B$8)*Supuestos!$B$9</f>
        <v/>
      </c>
      <c r="F5">
        <f>B5*Supuestos!$B$27*Supuestos!$B$9</f>
        <v/>
      </c>
      <c r="G5">
        <f>F5/Supuestos!$B$7</f>
        <v/>
      </c>
      <c r="H5">
        <f>G5*12</f>
        <v/>
      </c>
      <c r="I5">
        <f>Supuestos!$B$29+IF(G5&gt;=10000,0.15*G5,IF(G5&gt;=3000,0.1*G5,0))</f>
        <v/>
      </c>
      <c r="J5">
        <f>G5-I5</f>
        <v/>
      </c>
      <c r="K5">
        <f>J5/2</f>
        <v/>
      </c>
      <c r="L5">
        <f>J5-Supuestos!$B$20*Supuestos!$B$21</f>
        <v/>
      </c>
    </row>
    <row r="6">
      <c r="A6" s="3" t="n">
        <v>250</v>
      </c>
      <c r="B6">
        <f>A6*Supuestos!$B$25</f>
        <v/>
      </c>
      <c r="C6">
        <f>B6*Supuestos!$B$12</f>
        <v/>
      </c>
      <c r="D6">
        <f>B6*Supuestos!$B$26</f>
        <v/>
      </c>
      <c r="E6">
        <f>(D6*Supuestos!$B$4+B6*Supuestos!$B$14*Supuestos!$B$8)*Supuestos!$B$9</f>
        <v/>
      </c>
      <c r="F6">
        <f>B6*Supuestos!$B$27*Supuestos!$B$9</f>
        <v/>
      </c>
      <c r="G6">
        <f>F6/Supuestos!$B$7</f>
        <v/>
      </c>
      <c r="H6">
        <f>G6*12</f>
        <v/>
      </c>
      <c r="I6">
        <f>Supuestos!$B$29+IF(G6&gt;=10000,0.15*G6,IF(G6&gt;=3000,0.1*G6,0))</f>
        <v/>
      </c>
      <c r="J6">
        <f>G6-I6</f>
        <v/>
      </c>
      <c r="K6">
        <f>J6/2</f>
        <v/>
      </c>
      <c r="L6">
        <f>J6-Supuestos!$B$20*Supuestos!$B$21</f>
        <v/>
      </c>
    </row>
    <row r="7">
      <c r="A7" s="3" t="n">
        <v>500</v>
      </c>
      <c r="B7">
        <f>A7*Supuestos!$B$25</f>
        <v/>
      </c>
      <c r="C7">
        <f>B7*Supuestos!$B$12</f>
        <v/>
      </c>
      <c r="D7">
        <f>B7*Supuestos!$B$26</f>
        <v/>
      </c>
      <c r="E7">
        <f>(D7*Supuestos!$B$4+B7*Supuestos!$B$14*Supuestos!$B$8)*Supuestos!$B$9</f>
        <v/>
      </c>
      <c r="F7">
        <f>B7*Supuestos!$B$27*Supuestos!$B$9</f>
        <v/>
      </c>
      <c r="G7">
        <f>F7/Supuestos!$B$7</f>
        <v/>
      </c>
      <c r="H7">
        <f>G7*12</f>
        <v/>
      </c>
      <c r="I7">
        <f>Supuestos!$B$29+IF(G7&gt;=10000,0.15*G7,IF(G7&gt;=3000,0.1*G7,0))</f>
        <v/>
      </c>
      <c r="J7">
        <f>G7-I7</f>
        <v/>
      </c>
      <c r="K7">
        <f>J7/2</f>
        <v/>
      </c>
      <c r="L7">
        <f>J7-Supuestos!$B$20*Supuestos!$B$21</f>
        <v/>
      </c>
    </row>
    <row r="8">
      <c r="A8" s="3" t="n">
        <v>1000</v>
      </c>
      <c r="B8">
        <f>A8*Supuestos!$B$25</f>
        <v/>
      </c>
      <c r="C8">
        <f>B8*Supuestos!$B$12</f>
        <v/>
      </c>
      <c r="D8">
        <f>B8*Supuestos!$B$26</f>
        <v/>
      </c>
      <c r="E8">
        <f>(D8*Supuestos!$B$4+B8*Supuestos!$B$14*Supuestos!$B$8)*Supuestos!$B$9</f>
        <v/>
      </c>
      <c r="F8">
        <f>B8*Supuestos!$B$27*Supuestos!$B$9</f>
        <v/>
      </c>
      <c r="G8">
        <f>F8/Supuestos!$B$7</f>
        <v/>
      </c>
      <c r="H8">
        <f>G8*12</f>
        <v/>
      </c>
      <c r="I8">
        <f>Supuestos!$B$29+IF(G8&gt;=10000,0.15*G8,IF(G8&gt;=3000,0.1*G8,0))</f>
        <v/>
      </c>
      <c r="J8">
        <f>G8-I8</f>
        <v/>
      </c>
      <c r="K8">
        <f>J8/2</f>
        <v/>
      </c>
      <c r="L8">
        <f>J8-Supuestos!$B$20*Supuestos!$B$21</f>
        <v/>
      </c>
    </row>
    <row r="9">
      <c r="A9" s="3" t="n">
        <v>2000</v>
      </c>
      <c r="B9">
        <f>A9*Supuestos!$B$25</f>
        <v/>
      </c>
      <c r="C9">
        <f>B9*Supuestos!$B$12</f>
        <v/>
      </c>
      <c r="D9">
        <f>B9*Supuestos!$B$26</f>
        <v/>
      </c>
      <c r="E9">
        <f>(D9*Supuestos!$B$4+B9*Supuestos!$B$14*Supuestos!$B$8)*Supuestos!$B$9</f>
        <v/>
      </c>
      <c r="F9">
        <f>B9*Supuestos!$B$27*Supuestos!$B$9</f>
        <v/>
      </c>
      <c r="G9">
        <f>F9/Supuestos!$B$7</f>
        <v/>
      </c>
      <c r="H9">
        <f>G9*12</f>
        <v/>
      </c>
      <c r="I9">
        <f>Supuestos!$B$29+IF(G9&gt;=10000,0.15*G9,IF(G9&gt;=3000,0.1*G9,0))</f>
        <v/>
      </c>
      <c r="J9">
        <f>G9-I9</f>
        <v/>
      </c>
      <c r="K9">
        <f>J9/2</f>
        <v/>
      </c>
      <c r="L9">
        <f>J9-Supuestos!$B$20*Supuestos!$B$21</f>
        <v/>
      </c>
    </row>
    <row r="10">
      <c r="A10" s="3" t="n">
        <v>5000</v>
      </c>
      <c r="B10">
        <f>A10*Supuestos!$B$25</f>
        <v/>
      </c>
      <c r="C10">
        <f>B10*Supuestos!$B$12</f>
        <v/>
      </c>
      <c r="D10">
        <f>B10*Supuestos!$B$26</f>
        <v/>
      </c>
      <c r="E10">
        <f>(D10*Supuestos!$B$4+B10*Supuestos!$B$14*Supuestos!$B$8)*Supuestos!$B$9</f>
        <v/>
      </c>
      <c r="F10">
        <f>B10*Supuestos!$B$27*Supuestos!$B$9</f>
        <v/>
      </c>
      <c r="G10">
        <f>F10/Supuestos!$B$7</f>
        <v/>
      </c>
      <c r="H10">
        <f>G10*12</f>
        <v/>
      </c>
      <c r="I10">
        <f>Supuestos!$B$29+IF(G10&gt;=10000,0.15*G10,IF(G10&gt;=3000,0.1*G10,0))</f>
        <v/>
      </c>
      <c r="J10">
        <f>G10-I10</f>
        <v/>
      </c>
      <c r="K10">
        <f>J10/2</f>
        <v/>
      </c>
      <c r="L10">
        <f>J10-Supuestos!$B$20*Supuestos!$B$21</f>
        <v/>
      </c>
    </row>
    <row r="11">
      <c r="A11" s="3" t="n">
        <v>10000</v>
      </c>
      <c r="B11">
        <f>A11*Supuestos!$B$25</f>
        <v/>
      </c>
      <c r="C11">
        <f>B11*Supuestos!$B$12</f>
        <v/>
      </c>
      <c r="D11">
        <f>B11*Supuestos!$B$26</f>
        <v/>
      </c>
      <c r="E11">
        <f>(D11*Supuestos!$B$4+B11*Supuestos!$B$14*Supuestos!$B$8)*Supuestos!$B$9</f>
        <v/>
      </c>
      <c r="F11">
        <f>B11*Supuestos!$B$27*Supuestos!$B$9</f>
        <v/>
      </c>
      <c r="G11">
        <f>F11/Supuestos!$B$7</f>
        <v/>
      </c>
      <c r="H11">
        <f>G11*12</f>
        <v/>
      </c>
      <c r="I11">
        <f>Supuestos!$B$29+IF(G11&gt;=10000,0.15*G11,IF(G11&gt;=3000,0.1*G11,0))</f>
        <v/>
      </c>
      <c r="J11">
        <f>G11-I11</f>
        <v/>
      </c>
      <c r="K11">
        <f>J11/2</f>
        <v/>
      </c>
      <c r="L11">
        <f>J11-Supuestos!$B$20*Supuestos!$B$21</f>
        <v/>
      </c>
    </row>
    <row r="12">
      <c r="A12" s="3" t="n">
        <v>25000</v>
      </c>
      <c r="B12">
        <f>A12*Supuestos!$B$25</f>
        <v/>
      </c>
      <c r="C12">
        <f>B12*Supuestos!$B$12</f>
        <v/>
      </c>
      <c r="D12">
        <f>B12*Supuestos!$B$26</f>
        <v/>
      </c>
      <c r="E12">
        <f>(D12*Supuestos!$B$4+B12*Supuestos!$B$14*Supuestos!$B$8)*Supuestos!$B$9</f>
        <v/>
      </c>
      <c r="F12">
        <f>B12*Supuestos!$B$27*Supuestos!$B$9</f>
        <v/>
      </c>
      <c r="G12">
        <f>F12/Supuestos!$B$7</f>
        <v/>
      </c>
      <c r="H12">
        <f>G12*12</f>
        <v/>
      </c>
      <c r="I12">
        <f>Supuestos!$B$29+IF(G12&gt;=10000,0.15*G12,IF(G12&gt;=3000,0.1*G12,0))</f>
        <v/>
      </c>
      <c r="J12">
        <f>G12-I12</f>
        <v/>
      </c>
      <c r="K12">
        <f>J12/2</f>
        <v/>
      </c>
      <c r="L12">
        <f>J12-Supuestos!$B$20*Supuestos!$B$21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CCU y DAU necesarios para cada objetivo de ingresos netos mensuales (antes de costes)</t>
        </is>
      </c>
    </row>
    <row r="2">
      <c r="A2" s="2" t="inlineStr">
        <is>
          <t>Objetivo EUR/mes</t>
        </is>
      </c>
      <c r="B2" s="2" t="inlineStr">
        <is>
          <t>CCU medio necesario</t>
        </is>
      </c>
      <c r="C2" s="2" t="inlineStr">
        <is>
          <t>DAU necesario</t>
        </is>
      </c>
      <c r="D2" s="2" t="inlineStr">
        <is>
          <t>Pagadores/día</t>
        </is>
      </c>
      <c r="E2" s="2" t="inlineStr">
        <is>
          <t>Nuevos/día (días de vida editables)</t>
        </is>
      </c>
      <c r="F2" s="2" t="inlineStr">
        <is>
          <t>Días de vida por usuario (365 d)</t>
        </is>
      </c>
    </row>
    <row r="3">
      <c r="A3" s="3" t="n">
        <v>100</v>
      </c>
      <c r="B3">
        <f>A3/Supuestos!$B$28</f>
        <v/>
      </c>
      <c r="C3">
        <f>B3*Supuestos!$B$25</f>
        <v/>
      </c>
      <c r="D3">
        <f>C3*Supuestos!$B$12</f>
        <v/>
      </c>
      <c r="E3">
        <f>C3/F3</f>
        <v/>
      </c>
      <c r="F3" s="3" t="n">
        <v>2.78</v>
      </c>
    </row>
    <row r="4">
      <c r="A4" s="3" t="n">
        <v>500</v>
      </c>
      <c r="B4">
        <f>A4/Supuestos!$B$28</f>
        <v/>
      </c>
      <c r="C4">
        <f>B4*Supuestos!$B$25</f>
        <v/>
      </c>
      <c r="D4">
        <f>C4*Supuestos!$B$12</f>
        <v/>
      </c>
      <c r="E4">
        <f>C4/F4</f>
        <v/>
      </c>
      <c r="F4" s="3" t="n">
        <v>2.78</v>
      </c>
    </row>
    <row r="5">
      <c r="A5" s="3" t="n">
        <v>1000</v>
      </c>
      <c r="B5">
        <f>A5/Supuestos!$B$28</f>
        <v/>
      </c>
      <c r="C5">
        <f>B5*Supuestos!$B$25</f>
        <v/>
      </c>
      <c r="D5">
        <f>C5*Supuestos!$B$12</f>
        <v/>
      </c>
      <c r="E5">
        <f>C5/F5</f>
        <v/>
      </c>
      <c r="F5" s="3" t="n">
        <v>2.78</v>
      </c>
    </row>
    <row r="6">
      <c r="A6" s="3" t="n">
        <v>3000</v>
      </c>
      <c r="B6">
        <f>A6/Supuestos!$B$28</f>
        <v/>
      </c>
      <c r="C6">
        <f>B6*Supuestos!$B$25</f>
        <v/>
      </c>
      <c r="D6">
        <f>C6*Supuestos!$B$12</f>
        <v/>
      </c>
      <c r="E6">
        <f>C6/F6</f>
        <v/>
      </c>
      <c r="F6" s="3" t="n">
        <v>2.78</v>
      </c>
    </row>
    <row r="7">
      <c r="A7" s="3" t="n">
        <v>5000</v>
      </c>
      <c r="B7">
        <f>A7/Supuestos!$B$28</f>
        <v/>
      </c>
      <c r="C7">
        <f>B7*Supuestos!$B$25</f>
        <v/>
      </c>
      <c r="D7">
        <f>C7*Supuestos!$B$12</f>
        <v/>
      </c>
      <c r="E7">
        <f>C7/F7</f>
        <v/>
      </c>
      <c r="F7" s="3" t="n">
        <v>2.78</v>
      </c>
    </row>
    <row r="8">
      <c r="A8" s="3" t="n">
        <v>10000</v>
      </c>
      <c r="B8">
        <f>A8/Supuestos!$B$28</f>
        <v/>
      </c>
      <c r="C8">
        <f>B8*Supuestos!$B$25</f>
        <v/>
      </c>
      <c r="D8">
        <f>C8*Supuestos!$B$12</f>
        <v/>
      </c>
      <c r="E8">
        <f>C8/F8</f>
        <v/>
      </c>
      <c r="F8" s="3" t="n">
        <v>2.78</v>
      </c>
    </row>
    <row r="9">
      <c r="A9" s="3" t="n">
        <v>25000</v>
      </c>
      <c r="B9">
        <f>A9/Supuestos!$B$28</f>
        <v/>
      </c>
      <c r="C9">
        <f>B9*Supuestos!$B$25</f>
        <v/>
      </c>
      <c r="D9">
        <f>C9*Supuestos!$B$12</f>
        <v/>
      </c>
      <c r="E9">
        <f>C9/F9</f>
        <v/>
      </c>
      <c r="F9" s="3" t="n">
        <v>2.78</v>
      </c>
    </row>
    <row r="10">
      <c r="A10" s="3" t="n">
        <v>50000</v>
      </c>
      <c r="B10">
        <f>A10/Supuestos!$B$28</f>
        <v/>
      </c>
      <c r="C10">
        <f>B10*Supuestos!$B$25</f>
        <v/>
      </c>
      <c r="D10">
        <f>C10*Supuestos!$B$12</f>
        <v/>
      </c>
      <c r="E10">
        <f>C10/F10</f>
        <v/>
      </c>
      <c r="F10" s="3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Simulador mensual: edita los nuevos usuarios/día de cada mes y el núcleo de retención</t>
        </is>
      </c>
    </row>
    <row r="2">
      <c r="A2" t="inlineStr">
        <is>
          <t>El núcleo K(a) es el DAU medio en el mes a generado por 1 usuario nuevo/día durante un mes (precalculado desde la curva diaria).</t>
        </is>
      </c>
    </row>
    <row r="3">
      <c r="A3" t="inlineStr">
        <is>
          <t>Edad (meses)</t>
        </is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n">
        <v>16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</row>
    <row r="4">
      <c r="A4" t="inlineStr">
        <is>
          <t>K pesimista</t>
        </is>
      </c>
      <c r="B4" t="n">
        <v>1.19923</v>
      </c>
      <c r="C4" t="n">
        <v>0.11337</v>
      </c>
      <c r="D4" t="n">
        <v>0.05216</v>
      </c>
      <c r="E4" t="n">
        <v>0.03645</v>
      </c>
      <c r="F4" t="n">
        <v>0.02852</v>
      </c>
      <c r="G4" t="n">
        <v>0.02363</v>
      </c>
      <c r="H4" t="n">
        <v>0.02032</v>
      </c>
      <c r="I4" t="n">
        <v>0.01786</v>
      </c>
      <c r="J4" t="n">
        <v>0.01598</v>
      </c>
      <c r="K4" t="n">
        <v>0.01448</v>
      </c>
      <c r="L4" t="n">
        <v>0.01327</v>
      </c>
      <c r="M4" t="n">
        <v>0.01227</v>
      </c>
      <c r="N4" t="n">
        <v>0.01141</v>
      </c>
      <c r="O4" t="n">
        <v>0.01068</v>
      </c>
      <c r="P4" t="n">
        <v>0.01004</v>
      </c>
      <c r="Q4" t="n">
        <v>0.009480000000000001</v>
      </c>
      <c r="R4" t="n">
        <v>0.00899</v>
      </c>
      <c r="S4" t="n">
        <v>0.00855</v>
      </c>
      <c r="T4" t="n">
        <v>0.008149999999999999</v>
      </c>
      <c r="U4" t="n">
        <v>0.00779</v>
      </c>
      <c r="V4" t="n">
        <v>0.00747</v>
      </c>
      <c r="W4" t="n">
        <v>0.00718</v>
      </c>
      <c r="X4" t="n">
        <v>0.0069</v>
      </c>
      <c r="Y4" t="n">
        <v>0.00665</v>
      </c>
    </row>
    <row r="5">
      <c r="A5" t="inlineStr">
        <is>
          <t>K base</t>
        </is>
      </c>
      <c r="B5" t="n">
        <v>1.50841</v>
      </c>
      <c r="C5" t="n">
        <v>0.36162</v>
      </c>
      <c r="D5" t="n">
        <v>0.18211</v>
      </c>
      <c r="E5" t="n">
        <v>0.13143</v>
      </c>
      <c r="F5" t="n">
        <v>0.1051</v>
      </c>
      <c r="G5" t="n">
        <v>0.08851000000000001</v>
      </c>
      <c r="H5" t="n">
        <v>0.07716000000000001</v>
      </c>
      <c r="I5" t="n">
        <v>0.06859</v>
      </c>
      <c r="J5" t="n">
        <v>0.06195</v>
      </c>
      <c r="K5" t="n">
        <v>0.05664</v>
      </c>
      <c r="L5" t="n">
        <v>0.05228</v>
      </c>
      <c r="M5" t="n">
        <v>0.04869</v>
      </c>
      <c r="N5" t="n">
        <v>0.04557</v>
      </c>
      <c r="O5" t="n">
        <v>0.04288</v>
      </c>
      <c r="P5" t="n">
        <v>0.04054</v>
      </c>
      <c r="Q5" t="n">
        <v>0.03847</v>
      </c>
      <c r="R5" t="n">
        <v>0.03666</v>
      </c>
      <c r="S5" t="n">
        <v>0.03502</v>
      </c>
      <c r="T5" t="n">
        <v>0.03353</v>
      </c>
      <c r="U5" t="n">
        <v>0.03218</v>
      </c>
      <c r="V5" t="n">
        <v>0.03096</v>
      </c>
      <c r="W5" t="n">
        <v>0.02985</v>
      </c>
      <c r="X5" t="n">
        <v>0.02881</v>
      </c>
      <c r="Y5" t="n">
        <v>0.02786</v>
      </c>
    </row>
    <row r="6">
      <c r="A6" t="inlineStr">
        <is>
          <t>K optimista</t>
        </is>
      </c>
      <c r="B6" t="n">
        <v>1.94432</v>
      </c>
      <c r="C6" t="n">
        <v>0.8532</v>
      </c>
      <c r="D6" t="n">
        <v>0.50274</v>
      </c>
      <c r="E6" t="n">
        <v>0.3882</v>
      </c>
      <c r="F6" t="n">
        <v>0.32499</v>
      </c>
      <c r="G6" t="n">
        <v>0.28346</v>
      </c>
      <c r="H6" t="n">
        <v>0.2541</v>
      </c>
      <c r="I6" t="n">
        <v>0.23137</v>
      </c>
      <c r="J6" t="n">
        <v>0.21334</v>
      </c>
      <c r="K6" t="n">
        <v>0.19865</v>
      </c>
      <c r="L6" t="n">
        <v>0.18636</v>
      </c>
      <c r="M6" t="n">
        <v>0.17608</v>
      </c>
      <c r="N6" t="n">
        <v>0.16705</v>
      </c>
      <c r="O6" t="n">
        <v>0.15915</v>
      </c>
      <c r="P6" t="n">
        <v>0.15218</v>
      </c>
      <c r="Q6" t="n">
        <v>0.14596</v>
      </c>
      <c r="R6" t="n">
        <v>0.14047</v>
      </c>
      <c r="S6" t="n">
        <v>0.13541</v>
      </c>
      <c r="T6" t="n">
        <v>0.13081</v>
      </c>
      <c r="U6" t="n">
        <v>0.12661</v>
      </c>
      <c r="V6" t="n">
        <v>0.12275</v>
      </c>
      <c r="W6" t="n">
        <v>0.11924</v>
      </c>
      <c r="X6" t="n">
        <v>0.11594</v>
      </c>
      <c r="Y6" t="n">
        <v>0.11286</v>
      </c>
    </row>
    <row r="7">
      <c r="A7" t="inlineStr">
        <is>
          <t>K excepcional</t>
        </is>
      </c>
      <c r="B7" t="n">
        <v>2.48353</v>
      </c>
      <c r="C7" t="n">
        <v>1.5055</v>
      </c>
      <c r="D7" t="n">
        <v>0.93667</v>
      </c>
      <c r="E7" t="n">
        <v>0.7402</v>
      </c>
      <c r="F7" t="n">
        <v>0.6294999999999999</v>
      </c>
      <c r="G7" t="n">
        <v>0.5557299999999999</v>
      </c>
      <c r="H7" t="n">
        <v>0.50301</v>
      </c>
      <c r="I7" t="n">
        <v>0.4618</v>
      </c>
      <c r="J7" t="n">
        <v>0.42887</v>
      </c>
      <c r="K7" t="n">
        <v>0.40185</v>
      </c>
      <c r="L7" t="n">
        <v>0.37913</v>
      </c>
      <c r="M7" t="n">
        <v>0.36</v>
      </c>
      <c r="N7" t="n">
        <v>0.34312</v>
      </c>
      <c r="O7" t="n">
        <v>0.32829</v>
      </c>
      <c r="P7" t="n">
        <v>0.31515</v>
      </c>
      <c r="Q7" t="n">
        <v>0.30339</v>
      </c>
      <c r="R7" t="n">
        <v>0.29295</v>
      </c>
      <c r="S7" t="n">
        <v>0.28332</v>
      </c>
      <c r="T7" t="n">
        <v>0.27453</v>
      </c>
      <c r="U7" t="n">
        <v>0.26648</v>
      </c>
      <c r="V7" t="n">
        <v>0.25905</v>
      </c>
      <c r="W7" t="n">
        <v>0.25229</v>
      </c>
      <c r="X7" t="n">
        <v>0.24591</v>
      </c>
      <c r="Y7" t="n">
        <v>0.23996</v>
      </c>
    </row>
    <row r="8">
      <c r="A8" t="inlineStr">
        <is>
          <t>K usado (editable)</t>
        </is>
      </c>
      <c r="B8" s="3">
        <f>B5</f>
        <v/>
      </c>
      <c r="C8" s="3">
        <f>C5</f>
        <v/>
      </c>
      <c r="D8" s="3">
        <f>D5</f>
        <v/>
      </c>
      <c r="E8" s="3">
        <f>E5</f>
        <v/>
      </c>
      <c r="F8" s="3">
        <f>F5</f>
        <v/>
      </c>
      <c r="G8" s="3">
        <f>G5</f>
        <v/>
      </c>
      <c r="H8" s="3">
        <f>H5</f>
        <v/>
      </c>
      <c r="I8" s="3">
        <f>I5</f>
        <v/>
      </c>
      <c r="J8" s="3">
        <f>J5</f>
        <v/>
      </c>
      <c r="K8" s="3">
        <f>K5</f>
        <v/>
      </c>
      <c r="L8" s="3">
        <f>L5</f>
        <v/>
      </c>
      <c r="M8" s="3">
        <f>M5</f>
        <v/>
      </c>
      <c r="N8" s="3">
        <f>N5</f>
        <v/>
      </c>
      <c r="O8" s="3">
        <f>O5</f>
        <v/>
      </c>
      <c r="P8" s="3">
        <f>P5</f>
        <v/>
      </c>
      <c r="Q8" s="3">
        <f>Q5</f>
        <v/>
      </c>
      <c r="R8" s="3">
        <f>R5</f>
        <v/>
      </c>
      <c r="S8" s="3">
        <f>S5</f>
        <v/>
      </c>
      <c r="T8" s="3">
        <f>T5</f>
        <v/>
      </c>
      <c r="U8" s="3">
        <f>U5</f>
        <v/>
      </c>
      <c r="V8" s="3">
        <f>V5</f>
        <v/>
      </c>
      <c r="W8" s="3">
        <f>W5</f>
        <v/>
      </c>
      <c r="X8" s="3">
        <f>X5</f>
        <v/>
      </c>
      <c r="Y8" s="3">
        <f>Y5</f>
        <v/>
      </c>
    </row>
    <row r="10">
      <c r="A10" t="inlineStr">
        <is>
          <t>Mes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</row>
    <row r="11">
      <c r="A11" t="inlineStr">
        <is>
          <t>Nuevos usuarios/día (media del mes)</t>
        </is>
      </c>
      <c r="B11" s="3" t="n">
        <v>2451</v>
      </c>
      <c r="C11" s="3" t="n">
        <v>1360</v>
      </c>
      <c r="D11" s="3" t="n">
        <v>1341</v>
      </c>
      <c r="E11" s="3" t="n">
        <v>1228</v>
      </c>
      <c r="F11" s="3" t="n">
        <v>1230</v>
      </c>
      <c r="G11" s="3" t="n">
        <v>1156</v>
      </c>
      <c r="H11" s="3" t="n">
        <v>1132</v>
      </c>
      <c r="I11" s="3" t="n">
        <v>1098</v>
      </c>
      <c r="J11" s="3" t="n">
        <v>1044</v>
      </c>
      <c r="K11" s="3" t="n">
        <v>1028</v>
      </c>
      <c r="L11" s="3" t="n">
        <v>768</v>
      </c>
      <c r="M11" s="3" t="n">
        <v>793</v>
      </c>
      <c r="N11" s="3" t="n">
        <v>737</v>
      </c>
      <c r="O11" s="3" t="n">
        <v>753</v>
      </c>
      <c r="P11" s="3" t="n">
        <v>715</v>
      </c>
      <c r="Q11" s="3" t="n">
        <v>715</v>
      </c>
      <c r="R11" s="3" t="n">
        <v>697</v>
      </c>
      <c r="S11" s="3" t="n">
        <v>681</v>
      </c>
      <c r="T11" s="3" t="n">
        <v>685</v>
      </c>
      <c r="U11" s="3" t="n">
        <v>651</v>
      </c>
      <c r="V11" s="3" t="n">
        <v>677</v>
      </c>
      <c r="W11" s="3" t="n">
        <v>638</v>
      </c>
      <c r="X11" s="3" t="n">
        <v>658</v>
      </c>
      <c r="Y11" s="3" t="n">
        <v>628</v>
      </c>
    </row>
    <row r="12">
      <c r="A12" t="inlineStr">
        <is>
          <t>DAU medio</t>
        </is>
      </c>
      <c r="B12">
        <f>B11*B8</f>
        <v/>
      </c>
      <c r="C12">
        <f>B11*C8+C11*B8</f>
        <v/>
      </c>
      <c r="D12">
        <f>B11*D8+C11*C8+D11*B8</f>
        <v/>
      </c>
      <c r="E12">
        <f>B11*E8+C11*D8+D11*C8+E11*B8</f>
        <v/>
      </c>
      <c r="F12">
        <f>B11*F8+C11*E8+D11*D8+E11*C8+F11*B8</f>
        <v/>
      </c>
      <c r="G12">
        <f>B11*G8+C11*F8+D11*E8+E11*D8+F11*C8+G11*B8</f>
        <v/>
      </c>
      <c r="H12">
        <f>B11*H8+C11*G8+D11*F8+E11*E8+F11*D8+G11*C8+H11*B8</f>
        <v/>
      </c>
      <c r="I12">
        <f>B11*I8+C11*H8+D11*G8+E11*F8+F11*E8+G11*D8+H11*C8+I11*B8</f>
        <v/>
      </c>
      <c r="J12">
        <f>B11*J8+C11*I8+D11*H8+E11*G8+F11*F8+G11*E8+H11*D8+I11*C8+J11*B8</f>
        <v/>
      </c>
      <c r="K12">
        <f>B11*K8+C11*J8+D11*I8+E11*H8+F11*G8+G11*F8+H11*E8+I11*D8+J11*C8+K11*B8</f>
        <v/>
      </c>
      <c r="L12">
        <f>B11*L8+C11*K8+D11*J8+E11*I8+F11*H8+G11*G8+H11*F8+I11*E8+J11*D8+K11*C8+L11*B8</f>
        <v/>
      </c>
      <c r="M12">
        <f>B11*M8+C11*L8+D11*K8+E11*J8+F11*I8+G11*H8+H11*G8+I11*F8+J11*E8+K11*D8+L11*C8+M11*B8</f>
        <v/>
      </c>
      <c r="N12">
        <f>B11*N8+C11*M8+D11*L8+E11*K8+F11*J8+G11*I8+H11*H8+I11*G8+J11*F8+K11*E8+L11*D8+M11*C8+N11*B8</f>
        <v/>
      </c>
      <c r="O12">
        <f>B11*O8+C11*N8+D11*M8+E11*L8+F11*K8+G11*J8+H11*I8+I11*H8+J11*G8+K11*F8+L11*E8+M11*D8+N11*C8+O11*B8</f>
        <v/>
      </c>
      <c r="P12">
        <f>B11*P8+C11*O8+D11*N8+E11*M8+F11*L8+G11*K8+H11*J8+I11*I8+J11*H8+K11*G8+L11*F8+M11*E8+N11*D8+O11*C8+P11*B8</f>
        <v/>
      </c>
      <c r="Q12">
        <f>B11*Q8+C11*P8+D11*O8+E11*N8+F11*M8+G11*L8+H11*K8+I11*J8+J11*I8+K11*H8+L11*G8+M11*F8+N11*E8+O11*D8+P11*C8+Q11*B8</f>
        <v/>
      </c>
      <c r="R12">
        <f>B11*R8+C11*Q8+D11*P8+E11*O8+F11*N8+G11*M8+H11*L8+I11*K8+J11*J8+K11*I8+L11*H8+M11*G8+N11*F8+O11*E8+P11*D8+Q11*C8+R11*B8</f>
        <v/>
      </c>
      <c r="S12">
        <f>B11*S8+C11*R8+D11*Q8+E11*P8+F11*O8+G11*N8+H11*M8+I11*L8+J11*K8+K11*J8+L11*I8+M11*H8+N11*G8+O11*F8+P11*E8+Q11*D8+R11*C8+S11*B8</f>
        <v/>
      </c>
      <c r="T12">
        <f>B11*T8+C11*S8+D11*R8+E11*Q8+F11*P8+G11*O8+H11*N8+I11*M8+J11*L8+K11*K8+L11*J8+M11*I8+N11*H8+O11*G8+P11*F8+Q11*E8+R11*D8+S11*C8+T11*B8</f>
        <v/>
      </c>
      <c r="U12">
        <f>B11*U8+C11*T8+D11*S8+E11*R8+F11*Q8+G11*P8+H11*O8+I11*N8+J11*M8+K11*L8+L11*K8+M11*J8+N11*I8+O11*H8+P11*G8+Q11*F8+R11*E8+S11*D8+T11*C8+U11*B8</f>
        <v/>
      </c>
      <c r="V12">
        <f>B11*V8+C11*U8+D11*T8+E11*S8+F11*R8+G11*Q8+H11*P8+I11*O8+J11*N8+K11*M8+L11*L8+M11*K8+N11*J8+O11*I8+P11*H8+Q11*G8+R11*F8+S11*E8+T11*D8+U11*C8+V11*B8</f>
        <v/>
      </c>
      <c r="W12">
        <f>B11*W8+C11*V8+D11*U8+E11*T8+F11*S8+G11*R8+H11*Q8+I11*P8+J11*O8+K11*N8+L11*M8+M11*L8+N11*K8+O11*J8+P11*I8+Q11*H8+R11*G8+S11*F8+T11*E8+U11*D8+V11*C8+W11*B8</f>
        <v/>
      </c>
      <c r="X12">
        <f>B11*X8+C11*W8+D11*V8+E11*U8+F11*T8+G11*S8+H11*R8+I11*Q8+J11*P8+K11*O8+L11*N8+M11*M8+N11*L8+O11*K8+P11*J8+Q11*I8+R11*H8+S11*G8+T11*F8+U11*E8+V11*D8+W11*C8+X11*B8</f>
        <v/>
      </c>
      <c r="Y12">
        <f>B11*Y8+C11*X8+D11*W8+E11*V8+F11*U8+G11*T8+H11*S8+I11*R8+J11*Q8+K11*P8+L11*O8+M11*N8+N11*M8+O11*L8+P11*K8+Q11*J8+R11*I8+S11*H8+T11*G8+U11*F8+V11*E8+W11*D8+X11*C8+Y11*B8</f>
        <v/>
      </c>
    </row>
    <row r="13">
      <c r="A13" t="inlineStr">
        <is>
          <t>CCU medio</t>
        </is>
      </c>
      <c r="B13">
        <f>B12*Supuestos!$B$10*Supuestos!$B$11/1440</f>
        <v/>
      </c>
      <c r="C13">
        <f>C12*Supuestos!$B$10*Supuestos!$B$11/1440</f>
        <v/>
      </c>
      <c r="D13">
        <f>D12*Supuestos!$B$10*Supuestos!$B$11/1440</f>
        <v/>
      </c>
      <c r="E13">
        <f>E12*Supuestos!$B$10*Supuestos!$B$11/1440</f>
        <v/>
      </c>
      <c r="F13">
        <f>F12*Supuestos!$B$10*Supuestos!$B$11/1440</f>
        <v/>
      </c>
      <c r="G13">
        <f>G12*Supuestos!$B$10*Supuestos!$B$11/1440</f>
        <v/>
      </c>
      <c r="H13">
        <f>H12*Supuestos!$B$10*Supuestos!$B$11/1440</f>
        <v/>
      </c>
      <c r="I13">
        <f>I12*Supuestos!$B$10*Supuestos!$B$11/1440</f>
        <v/>
      </c>
      <c r="J13">
        <f>J12*Supuestos!$B$10*Supuestos!$B$11/1440</f>
        <v/>
      </c>
      <c r="K13">
        <f>K12*Supuestos!$B$10*Supuestos!$B$11/1440</f>
        <v/>
      </c>
      <c r="L13">
        <f>L12*Supuestos!$B$10*Supuestos!$B$11/1440</f>
        <v/>
      </c>
      <c r="M13">
        <f>M12*Supuestos!$B$10*Supuestos!$B$11/1440</f>
        <v/>
      </c>
      <c r="N13">
        <f>N12*Supuestos!$B$10*Supuestos!$B$11/1440</f>
        <v/>
      </c>
      <c r="O13">
        <f>O12*Supuestos!$B$10*Supuestos!$B$11/1440</f>
        <v/>
      </c>
      <c r="P13">
        <f>P12*Supuestos!$B$10*Supuestos!$B$11/1440</f>
        <v/>
      </c>
      <c r="Q13">
        <f>Q12*Supuestos!$B$10*Supuestos!$B$11/1440</f>
        <v/>
      </c>
      <c r="R13">
        <f>R12*Supuestos!$B$10*Supuestos!$B$11/1440</f>
        <v/>
      </c>
      <c r="S13">
        <f>S12*Supuestos!$B$10*Supuestos!$B$11/1440</f>
        <v/>
      </c>
      <c r="T13">
        <f>T12*Supuestos!$B$10*Supuestos!$B$11/1440</f>
        <v/>
      </c>
      <c r="U13">
        <f>U12*Supuestos!$B$10*Supuestos!$B$11/1440</f>
        <v/>
      </c>
      <c r="V13">
        <f>V12*Supuestos!$B$10*Supuestos!$B$11/1440</f>
        <v/>
      </c>
      <c r="W13">
        <f>W12*Supuestos!$B$10*Supuestos!$B$11/1440</f>
        <v/>
      </c>
      <c r="X13">
        <f>X12*Supuestos!$B$10*Supuestos!$B$11/1440</f>
        <v/>
      </c>
      <c r="Y13">
        <f>Y12*Supuestos!$B$10*Supuestos!$B$11/1440</f>
        <v/>
      </c>
    </row>
    <row r="14">
      <c r="A14" t="inlineStr">
        <is>
          <t>Ingresos EUR/mes</t>
        </is>
      </c>
      <c r="B14">
        <f>B12*Supuestos!$B$27*Supuestos!$B$9/Supuestos!$B$7</f>
        <v/>
      </c>
      <c r="C14">
        <f>C12*Supuestos!$B$27*Supuestos!$B$9/Supuestos!$B$7</f>
        <v/>
      </c>
      <c r="D14">
        <f>D12*Supuestos!$B$27*Supuestos!$B$9/Supuestos!$B$7</f>
        <v/>
      </c>
      <c r="E14">
        <f>E12*Supuestos!$B$27*Supuestos!$B$9/Supuestos!$B$7</f>
        <v/>
      </c>
      <c r="F14">
        <f>F12*Supuestos!$B$27*Supuestos!$B$9/Supuestos!$B$7</f>
        <v/>
      </c>
      <c r="G14">
        <f>G12*Supuestos!$B$27*Supuestos!$B$9/Supuestos!$B$7</f>
        <v/>
      </c>
      <c r="H14">
        <f>H12*Supuestos!$B$27*Supuestos!$B$9/Supuestos!$B$7</f>
        <v/>
      </c>
      <c r="I14">
        <f>I12*Supuestos!$B$27*Supuestos!$B$9/Supuestos!$B$7</f>
        <v/>
      </c>
      <c r="J14">
        <f>J12*Supuestos!$B$27*Supuestos!$B$9/Supuestos!$B$7</f>
        <v/>
      </c>
      <c r="K14">
        <f>K12*Supuestos!$B$27*Supuestos!$B$9/Supuestos!$B$7</f>
        <v/>
      </c>
      <c r="L14">
        <f>L12*Supuestos!$B$27*Supuestos!$B$9/Supuestos!$B$7</f>
        <v/>
      </c>
      <c r="M14">
        <f>M12*Supuestos!$B$27*Supuestos!$B$9/Supuestos!$B$7</f>
        <v/>
      </c>
      <c r="N14">
        <f>N12*Supuestos!$B$27*Supuestos!$B$9/Supuestos!$B$7</f>
        <v/>
      </c>
      <c r="O14">
        <f>O12*Supuestos!$B$27*Supuestos!$B$9/Supuestos!$B$7</f>
        <v/>
      </c>
      <c r="P14">
        <f>P12*Supuestos!$B$27*Supuestos!$B$9/Supuestos!$B$7</f>
        <v/>
      </c>
      <c r="Q14">
        <f>Q12*Supuestos!$B$27*Supuestos!$B$9/Supuestos!$B$7</f>
        <v/>
      </c>
      <c r="R14">
        <f>R12*Supuestos!$B$27*Supuestos!$B$9/Supuestos!$B$7</f>
        <v/>
      </c>
      <c r="S14">
        <f>S12*Supuestos!$B$27*Supuestos!$B$9/Supuestos!$B$7</f>
        <v/>
      </c>
      <c r="T14">
        <f>T12*Supuestos!$B$27*Supuestos!$B$9/Supuestos!$B$7</f>
        <v/>
      </c>
      <c r="U14">
        <f>U12*Supuestos!$B$27*Supuestos!$B$9/Supuestos!$B$7</f>
        <v/>
      </c>
      <c r="V14">
        <f>V12*Supuestos!$B$27*Supuestos!$B$9/Supuestos!$B$7</f>
        <v/>
      </c>
      <c r="W14">
        <f>W12*Supuestos!$B$27*Supuestos!$B$9/Supuestos!$B$7</f>
        <v/>
      </c>
      <c r="X14">
        <f>X12*Supuestos!$B$27*Supuestos!$B$9/Supuestos!$B$7</f>
        <v/>
      </c>
      <c r="Y14">
        <f>Y12*Supuestos!$B$27*Supuestos!$B$9/Supuestos!$B$7</f>
        <v/>
      </c>
    </row>
    <row r="15">
      <c r="A15" t="inlineStr">
        <is>
          <t>Costes EUR/mes</t>
        </is>
      </c>
      <c r="B15">
        <f>Supuestos!$B$29+IF(B14&gt;=10000,0.15*B14,IF(B14&gt;=3000,0.1*B14,0))</f>
        <v/>
      </c>
      <c r="C15">
        <f>Supuestos!$B$29+IF(C14&gt;=10000,0.15*C14,IF(C14&gt;=3000,0.1*C14,0))</f>
        <v/>
      </c>
      <c r="D15">
        <f>Supuestos!$B$29+IF(D14&gt;=10000,0.15*D14,IF(D14&gt;=3000,0.1*D14,0))</f>
        <v/>
      </c>
      <c r="E15">
        <f>Supuestos!$B$29+IF(E14&gt;=10000,0.15*E14,IF(E14&gt;=3000,0.1*E14,0))</f>
        <v/>
      </c>
      <c r="F15">
        <f>Supuestos!$B$29+IF(F14&gt;=10000,0.15*F14,IF(F14&gt;=3000,0.1*F14,0))</f>
        <v/>
      </c>
      <c r="G15">
        <f>Supuestos!$B$29+IF(G14&gt;=10000,0.15*G14,IF(G14&gt;=3000,0.1*G14,0))</f>
        <v/>
      </c>
      <c r="H15">
        <f>Supuestos!$B$29+IF(H14&gt;=10000,0.15*H14,IF(H14&gt;=3000,0.1*H14,0))</f>
        <v/>
      </c>
      <c r="I15">
        <f>Supuestos!$B$29+IF(I14&gt;=10000,0.15*I14,IF(I14&gt;=3000,0.1*I14,0))</f>
        <v/>
      </c>
      <c r="J15">
        <f>Supuestos!$B$29+IF(J14&gt;=10000,0.15*J14,IF(J14&gt;=3000,0.1*J14,0))</f>
        <v/>
      </c>
      <c r="K15">
        <f>Supuestos!$B$29+IF(K14&gt;=10000,0.15*K14,IF(K14&gt;=3000,0.1*K14,0))</f>
        <v/>
      </c>
      <c r="L15">
        <f>Supuestos!$B$29+IF(L14&gt;=10000,0.15*L14,IF(L14&gt;=3000,0.1*L14,0))</f>
        <v/>
      </c>
      <c r="M15">
        <f>Supuestos!$B$29+IF(M14&gt;=10000,0.15*M14,IF(M14&gt;=3000,0.1*M14,0))</f>
        <v/>
      </c>
      <c r="N15">
        <f>Supuestos!$B$29+IF(N14&gt;=10000,0.15*N14,IF(N14&gt;=3000,0.1*N14,0))</f>
        <v/>
      </c>
      <c r="O15">
        <f>Supuestos!$B$29+IF(O14&gt;=10000,0.15*O14,IF(O14&gt;=3000,0.1*O14,0))</f>
        <v/>
      </c>
      <c r="P15">
        <f>Supuestos!$B$29+IF(P14&gt;=10000,0.15*P14,IF(P14&gt;=3000,0.1*P14,0))</f>
        <v/>
      </c>
      <c r="Q15">
        <f>Supuestos!$B$29+IF(Q14&gt;=10000,0.15*Q14,IF(Q14&gt;=3000,0.1*Q14,0))</f>
        <v/>
      </c>
      <c r="R15">
        <f>Supuestos!$B$29+IF(R14&gt;=10000,0.15*R14,IF(R14&gt;=3000,0.1*R14,0))</f>
        <v/>
      </c>
      <c r="S15">
        <f>Supuestos!$B$29+IF(S14&gt;=10000,0.15*S14,IF(S14&gt;=3000,0.1*S14,0))</f>
        <v/>
      </c>
      <c r="T15">
        <f>Supuestos!$B$29+IF(T14&gt;=10000,0.15*T14,IF(T14&gt;=3000,0.1*T14,0))</f>
        <v/>
      </c>
      <c r="U15">
        <f>Supuestos!$B$29+IF(U14&gt;=10000,0.15*U14,IF(U14&gt;=3000,0.1*U14,0))</f>
        <v/>
      </c>
      <c r="V15">
        <f>Supuestos!$B$29+IF(V14&gt;=10000,0.15*V14,IF(V14&gt;=3000,0.1*V14,0))</f>
        <v/>
      </c>
      <c r="W15">
        <f>Supuestos!$B$29+IF(W14&gt;=10000,0.15*W14,IF(W14&gt;=3000,0.1*W14,0))</f>
        <v/>
      </c>
      <c r="X15">
        <f>Supuestos!$B$29+IF(X14&gt;=10000,0.15*X14,IF(X14&gt;=3000,0.1*X14,0))</f>
        <v/>
      </c>
      <c r="Y15">
        <f>Supuestos!$B$29+IF(Y14&gt;=10000,0.15*Y14,IF(Y14&gt;=3000,0.1*Y14,0))</f>
        <v/>
      </c>
    </row>
    <row r="16">
      <c r="A16" t="inlineStr">
        <is>
          <t>Beneficio operativo EUR/mes</t>
        </is>
      </c>
      <c r="B16">
        <f>B14-B15</f>
        <v/>
      </c>
      <c r="C16">
        <f>C14-C15</f>
        <v/>
      </c>
      <c r="D16">
        <f>D14-D15</f>
        <v/>
      </c>
      <c r="E16">
        <f>E14-E15</f>
        <v/>
      </c>
      <c r="F16">
        <f>F14-F15</f>
        <v/>
      </c>
      <c r="G16">
        <f>G14-G15</f>
        <v/>
      </c>
      <c r="H16">
        <f>H14-H15</f>
        <v/>
      </c>
      <c r="I16">
        <f>I14-I15</f>
        <v/>
      </c>
      <c r="J16">
        <f>J14-J15</f>
        <v/>
      </c>
      <c r="K16">
        <f>K14-K15</f>
        <v/>
      </c>
      <c r="L16">
        <f>L14-L15</f>
        <v/>
      </c>
      <c r="M16">
        <f>M14-M15</f>
        <v/>
      </c>
      <c r="N16">
        <f>N14-N15</f>
        <v/>
      </c>
      <c r="O16">
        <f>O14-O15</f>
        <v/>
      </c>
      <c r="P16">
        <f>P14-P15</f>
        <v/>
      </c>
      <c r="Q16">
        <f>Q14-Q15</f>
        <v/>
      </c>
      <c r="R16">
        <f>R14-R15</f>
        <v/>
      </c>
      <c r="S16">
        <f>S14-S15</f>
        <v/>
      </c>
      <c r="T16">
        <f>T14-T15</f>
        <v/>
      </c>
      <c r="U16">
        <f>U14-U15</f>
        <v/>
      </c>
      <c r="V16">
        <f>V14-V15</f>
        <v/>
      </c>
      <c r="W16">
        <f>W14-W15</f>
        <v/>
      </c>
      <c r="X16">
        <f>X14-X15</f>
        <v/>
      </c>
      <c r="Y16">
        <f>Y14-Y15</f>
        <v/>
      </c>
    </row>
    <row r="17">
      <c r="A17" t="inlineStr">
        <is>
          <t>Inversión previa EUR</t>
        </is>
      </c>
      <c r="B17" s="3" t="n">
        <v>2560</v>
      </c>
    </row>
    <row r="18">
      <c r="A18" t="inlineStr">
        <is>
          <t>Caja acumulada EUR</t>
        </is>
      </c>
      <c r="B18">
        <f>SUM($B$16:B16)-$B$17</f>
        <v/>
      </c>
      <c r="C18">
        <f>SUM($B$16:C16)-$B$17</f>
        <v/>
      </c>
      <c r="D18">
        <f>SUM($B$16:D16)-$B$17</f>
        <v/>
      </c>
      <c r="E18">
        <f>SUM($B$16:E16)-$B$17</f>
        <v/>
      </c>
      <c r="F18">
        <f>SUM($B$16:F16)-$B$17</f>
        <v/>
      </c>
      <c r="G18">
        <f>SUM($B$16:G16)-$B$17</f>
        <v/>
      </c>
      <c r="H18">
        <f>SUM($B$16:H16)-$B$17</f>
        <v/>
      </c>
      <c r="I18">
        <f>SUM($B$16:I16)-$B$17</f>
        <v/>
      </c>
      <c r="J18">
        <f>SUM($B$16:J16)-$B$17</f>
        <v/>
      </c>
      <c r="K18">
        <f>SUM($B$16:K16)-$B$17</f>
        <v/>
      </c>
      <c r="L18">
        <f>SUM($B$16:L16)-$B$17</f>
        <v/>
      </c>
      <c r="M18">
        <f>SUM($B$16:M16)-$B$17</f>
        <v/>
      </c>
      <c r="N18">
        <f>SUM($B$16:N16)-$B$17</f>
        <v/>
      </c>
      <c r="O18">
        <f>SUM($B$16:O16)-$B$17</f>
        <v/>
      </c>
      <c r="P18">
        <f>SUM($B$16:P16)-$B$17</f>
        <v/>
      </c>
      <c r="Q18">
        <f>SUM($B$16:Q16)-$B$17</f>
        <v/>
      </c>
      <c r="R18">
        <f>SUM($B$16:R16)-$B$17</f>
        <v/>
      </c>
      <c r="S18">
        <f>SUM($B$16:S16)-$B$17</f>
        <v/>
      </c>
      <c r="T18">
        <f>SUM($B$16:T16)-$B$17</f>
        <v/>
      </c>
      <c r="U18">
        <f>SUM($B$16:U16)-$B$17</f>
        <v/>
      </c>
      <c r="V18">
        <f>SUM($B$16:V16)-$B$17</f>
        <v/>
      </c>
      <c r="W18">
        <f>SUM($B$16:W16)-$B$17</f>
        <v/>
      </c>
      <c r="X18">
        <f>SUM($B$16:X16)-$B$17</f>
        <v/>
      </c>
      <c r="Y18">
        <f>SUM($B$16:Y16)-$B$17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Resultados de la simulación diaria por cohortes (valores generados por modelo.py)</t>
        </is>
      </c>
    </row>
    <row r="2">
      <c r="A2" s="2" t="inlineStr">
        <is>
          <t>escenario</t>
        </is>
      </c>
      <c r="B2" s="2" t="inlineStr">
        <is>
          <t>mes</t>
        </is>
      </c>
      <c r="C2" s="2" t="inlineStr">
        <is>
          <t>nuevos_dia_medio</t>
        </is>
      </c>
      <c r="D2" s="2" t="inlineStr">
        <is>
          <t>dau_medio</t>
        </is>
      </c>
      <c r="E2" s="2" t="inlineStr">
        <is>
          <t>ccu_medio</t>
        </is>
      </c>
      <c r="F2" s="2" t="inlineStr">
        <is>
          <t>ccu_pico_semanal_est</t>
        </is>
      </c>
      <c r="G2" s="2" t="inlineStr">
        <is>
          <t>ingresos_usd</t>
        </is>
      </c>
      <c r="H2" s="2" t="inlineStr">
        <is>
          <t>marketing_eur</t>
        </is>
      </c>
      <c r="I2" s="2" t="inlineStr">
        <is>
          <t>ingresos_eur</t>
        </is>
      </c>
      <c r="J2" s="2" t="inlineStr">
        <is>
          <t>costes_eur</t>
        </is>
      </c>
      <c r="K2" s="2" t="inlineStr">
        <is>
          <t>beneficio_operativo_eur</t>
        </is>
      </c>
      <c r="L2" s="2" t="inlineStr">
        <is>
          <t>caja_acumulada_eur</t>
        </is>
      </c>
      <c r="M2" s="2" t="inlineStr">
        <is>
          <t>por_socio_eur</t>
        </is>
      </c>
      <c r="N2" s="2" t="inlineStr">
        <is>
          <t>resultado_con_coste_oportunidad_eur</t>
        </is>
      </c>
    </row>
    <row r="3">
      <c r="A3" t="inlineStr">
        <is>
          <t>pesimista</t>
        </is>
      </c>
      <c r="B3" t="n">
        <v>1</v>
      </c>
      <c r="C3" t="n">
        <v>391.49</v>
      </c>
      <c r="D3" t="n">
        <v>481.98</v>
      </c>
      <c r="E3" t="n">
        <v>5.15</v>
      </c>
      <c r="F3" t="n">
        <v>7.93</v>
      </c>
      <c r="G3" t="n">
        <v>32.36</v>
      </c>
      <c r="H3" t="n">
        <v>50</v>
      </c>
      <c r="I3" t="n">
        <v>28.86</v>
      </c>
      <c r="J3" t="n">
        <v>300</v>
      </c>
      <c r="K3" t="n">
        <v>-271.14</v>
      </c>
      <c r="L3" t="n">
        <v>-2581.14</v>
      </c>
      <c r="M3" t="n">
        <v>-135.57</v>
      </c>
      <c r="N3" t="n">
        <v>-1771.14</v>
      </c>
    </row>
    <row r="4">
      <c r="A4" t="inlineStr">
        <is>
          <t>pesimista</t>
        </is>
      </c>
      <c r="B4" t="n">
        <v>2</v>
      </c>
      <c r="C4" t="n">
        <v>141.9</v>
      </c>
      <c r="D4" t="n">
        <v>208.4</v>
      </c>
      <c r="E4" t="n">
        <v>2.23</v>
      </c>
      <c r="F4" t="n">
        <v>3.43</v>
      </c>
      <c r="G4" t="n">
        <v>13.54</v>
      </c>
      <c r="H4" t="n">
        <v>0</v>
      </c>
      <c r="I4" t="n">
        <v>12.07</v>
      </c>
      <c r="J4" t="n">
        <v>250</v>
      </c>
      <c r="K4" t="n">
        <v>-237.93</v>
      </c>
      <c r="L4" t="n">
        <v>-2819.07</v>
      </c>
      <c r="M4" t="n">
        <v>-118.96</v>
      </c>
      <c r="N4" t="n">
        <v>-1737.93</v>
      </c>
    </row>
    <row r="5">
      <c r="A5" t="inlineStr">
        <is>
          <t>pesimista</t>
        </is>
      </c>
      <c r="B5" t="n">
        <v>3</v>
      </c>
      <c r="C5" t="n">
        <v>122.71</v>
      </c>
      <c r="D5" t="n">
        <v>182.69</v>
      </c>
      <c r="E5" t="n">
        <v>1.95</v>
      </c>
      <c r="F5" t="n">
        <v>3.01</v>
      </c>
      <c r="G5" t="n">
        <v>12.27</v>
      </c>
      <c r="H5" t="n">
        <v>0</v>
      </c>
      <c r="I5" t="n">
        <v>10.94</v>
      </c>
      <c r="J5" t="n">
        <v>250</v>
      </c>
      <c r="K5" t="n">
        <v>-239.06</v>
      </c>
      <c r="L5" t="n">
        <v>-3058.13</v>
      </c>
      <c r="M5" t="n">
        <v>-119.53</v>
      </c>
      <c r="N5" t="n">
        <v>-1739.06</v>
      </c>
    </row>
    <row r="6">
      <c r="A6" t="inlineStr">
        <is>
          <t>pesimista</t>
        </is>
      </c>
      <c r="B6" t="n">
        <v>4</v>
      </c>
      <c r="C6" t="n">
        <v>111.42</v>
      </c>
      <c r="D6" t="n">
        <v>169.1</v>
      </c>
      <c r="E6" t="n">
        <v>1.81</v>
      </c>
      <c r="F6" t="n">
        <v>2.78</v>
      </c>
      <c r="G6" t="n">
        <v>10.99</v>
      </c>
      <c r="H6" t="n">
        <v>0</v>
      </c>
      <c r="I6" t="n">
        <v>9.800000000000001</v>
      </c>
      <c r="J6" t="n">
        <v>250</v>
      </c>
      <c r="K6" t="n">
        <v>-240.2</v>
      </c>
      <c r="L6" t="n">
        <v>-3298.33</v>
      </c>
      <c r="M6" t="n">
        <v>-120.1</v>
      </c>
      <c r="N6" t="n">
        <v>-1740.2</v>
      </c>
    </row>
    <row r="7">
      <c r="A7" t="inlineStr">
        <is>
          <t>pesimista</t>
        </is>
      </c>
      <c r="B7" t="n">
        <v>5</v>
      </c>
      <c r="C7" t="n">
        <v>102.91</v>
      </c>
      <c r="D7" t="n">
        <v>158.98</v>
      </c>
      <c r="E7" t="n">
        <v>1.7</v>
      </c>
      <c r="F7" t="n">
        <v>2.62</v>
      </c>
      <c r="G7" t="n">
        <v>10.33</v>
      </c>
      <c r="H7" t="n">
        <v>0</v>
      </c>
      <c r="I7" t="n">
        <v>9.210000000000001</v>
      </c>
      <c r="J7" t="n">
        <v>250</v>
      </c>
      <c r="K7" t="n">
        <v>-240.79</v>
      </c>
      <c r="L7" t="n">
        <v>-3539.12</v>
      </c>
      <c r="M7" t="n">
        <v>-120.39</v>
      </c>
      <c r="N7" t="n">
        <v>-1740.79</v>
      </c>
    </row>
    <row r="8">
      <c r="A8" t="inlineStr">
        <is>
          <t>pesimista</t>
        </is>
      </c>
      <c r="B8" t="n">
        <v>6</v>
      </c>
      <c r="C8" t="n">
        <v>95.95999999999999</v>
      </c>
      <c r="D8" t="n">
        <v>150.55</v>
      </c>
      <c r="E8" t="n">
        <v>1.61</v>
      </c>
      <c r="F8" t="n">
        <v>2.48</v>
      </c>
      <c r="G8" t="n">
        <v>10.11</v>
      </c>
      <c r="H8" t="n">
        <v>0</v>
      </c>
      <c r="I8" t="n">
        <v>9.01</v>
      </c>
      <c r="J8" t="n">
        <v>250</v>
      </c>
      <c r="K8" t="n">
        <v>-240.99</v>
      </c>
      <c r="L8" t="n">
        <v>-3780.11</v>
      </c>
      <c r="M8" t="n">
        <v>-120.49</v>
      </c>
      <c r="N8" t="n">
        <v>-1740.99</v>
      </c>
    </row>
    <row r="9">
      <c r="A9" t="inlineStr">
        <is>
          <t>pesimista</t>
        </is>
      </c>
      <c r="B9" t="n">
        <v>7</v>
      </c>
      <c r="C9" t="n">
        <v>88.86</v>
      </c>
      <c r="D9" t="n">
        <v>141.96</v>
      </c>
      <c r="E9" t="n">
        <v>1.52</v>
      </c>
      <c r="F9" t="n">
        <v>2.34</v>
      </c>
      <c r="G9" t="n">
        <v>9.220000000000001</v>
      </c>
      <c r="H9" t="n">
        <v>0</v>
      </c>
      <c r="I9" t="n">
        <v>8.220000000000001</v>
      </c>
      <c r="J9" t="n">
        <v>250</v>
      </c>
      <c r="K9" t="n">
        <v>-241.78</v>
      </c>
      <c r="L9" t="n">
        <v>-4021.88</v>
      </c>
      <c r="M9" t="n">
        <v>-120.89</v>
      </c>
      <c r="N9" t="n">
        <v>-1741.78</v>
      </c>
    </row>
    <row r="10">
      <c r="A10" t="inlineStr">
        <is>
          <t>pesimista</t>
        </is>
      </c>
      <c r="B10" t="n">
        <v>8</v>
      </c>
      <c r="C10" t="n">
        <v>83.58</v>
      </c>
      <c r="D10" t="n">
        <v>135.33</v>
      </c>
      <c r="E10" t="n">
        <v>1.45</v>
      </c>
      <c r="F10" t="n">
        <v>2.23</v>
      </c>
      <c r="G10" t="n">
        <v>9.09</v>
      </c>
      <c r="H10" t="n">
        <v>0</v>
      </c>
      <c r="I10" t="n">
        <v>8.1</v>
      </c>
      <c r="J10" t="n">
        <v>250</v>
      </c>
      <c r="K10" t="n">
        <v>-241.9</v>
      </c>
      <c r="L10" t="n">
        <v>-4263.78</v>
      </c>
      <c r="M10" t="n">
        <v>-120.95</v>
      </c>
      <c r="N10" t="n">
        <v>-1741.9</v>
      </c>
    </row>
    <row r="11">
      <c r="A11" t="inlineStr">
        <is>
          <t>pesimista</t>
        </is>
      </c>
      <c r="B11" t="n">
        <v>9</v>
      </c>
      <c r="C11" t="n">
        <v>74.58</v>
      </c>
      <c r="D11" t="n">
        <v>124.71</v>
      </c>
      <c r="E11" t="n">
        <v>1.33</v>
      </c>
      <c r="F11" t="n">
        <v>2.05</v>
      </c>
      <c r="G11" t="n">
        <v>8.1</v>
      </c>
      <c r="H11" t="n">
        <v>0</v>
      </c>
      <c r="I11" t="n">
        <v>7.23</v>
      </c>
      <c r="J11" t="n">
        <v>250</v>
      </c>
      <c r="K11" t="n">
        <v>-242.77</v>
      </c>
      <c r="L11" t="n">
        <v>-4506.55</v>
      </c>
      <c r="M11" t="n">
        <v>-121.39</v>
      </c>
      <c r="N11" t="n">
        <v>-1742.77</v>
      </c>
    </row>
    <row r="12">
      <c r="A12" t="inlineStr">
        <is>
          <t>pesimista</t>
        </is>
      </c>
      <c r="B12" t="n">
        <v>10</v>
      </c>
      <c r="C12" t="n">
        <v>51.89</v>
      </c>
      <c r="D12" t="n">
        <v>95.89</v>
      </c>
      <c r="E12" t="n">
        <v>1.03</v>
      </c>
      <c r="F12" t="n">
        <v>1.58</v>
      </c>
      <c r="G12" t="n">
        <v>6.23</v>
      </c>
      <c r="H12" t="n">
        <v>0</v>
      </c>
      <c r="I12" t="n">
        <v>5.56</v>
      </c>
      <c r="J12" t="n">
        <v>250</v>
      </c>
      <c r="K12" t="n">
        <v>-244.44</v>
      </c>
      <c r="L12" t="n">
        <v>-4751</v>
      </c>
      <c r="M12" t="n">
        <v>-122.22</v>
      </c>
      <c r="N12" t="n">
        <v>-1744.44</v>
      </c>
    </row>
    <row r="13">
      <c r="A13" t="inlineStr">
        <is>
          <t>pesimista</t>
        </is>
      </c>
      <c r="B13" t="n">
        <v>11</v>
      </c>
      <c r="C13" t="n">
        <v>49.46</v>
      </c>
      <c r="D13" t="n">
        <v>90.55</v>
      </c>
      <c r="E13" t="n">
        <v>0.97</v>
      </c>
      <c r="F13" t="n">
        <v>1.49</v>
      </c>
      <c r="G13" t="n">
        <v>6.08</v>
      </c>
      <c r="H13" t="n">
        <v>0</v>
      </c>
      <c r="I13" t="n">
        <v>5.42</v>
      </c>
      <c r="J13" t="n">
        <v>250</v>
      </c>
      <c r="K13" t="n">
        <v>-244.58</v>
      </c>
      <c r="L13" t="n">
        <v>-4995.58</v>
      </c>
      <c r="M13" t="n">
        <v>-122.29</v>
      </c>
      <c r="N13" t="n">
        <v>-1744.58</v>
      </c>
    </row>
    <row r="14">
      <c r="A14" t="inlineStr">
        <is>
          <t>pesimista</t>
        </is>
      </c>
      <c r="B14" t="n">
        <v>12</v>
      </c>
      <c r="C14" t="n">
        <v>47.02</v>
      </c>
      <c r="D14" t="n">
        <v>86.25</v>
      </c>
      <c r="E14" t="n">
        <v>0.92</v>
      </c>
      <c r="F14" t="n">
        <v>1.42</v>
      </c>
      <c r="G14" t="n">
        <v>5.6</v>
      </c>
      <c r="H14" t="n">
        <v>0</v>
      </c>
      <c r="I14" t="n">
        <v>5</v>
      </c>
      <c r="J14" t="n">
        <v>250</v>
      </c>
      <c r="K14" t="n">
        <v>-245</v>
      </c>
      <c r="L14" t="n">
        <v>-5240.58</v>
      </c>
      <c r="M14" t="n">
        <v>-122.5</v>
      </c>
      <c r="N14" t="n">
        <v>-1745</v>
      </c>
    </row>
    <row r="15">
      <c r="A15" t="inlineStr">
        <is>
          <t>pesimista</t>
        </is>
      </c>
      <c r="B15" t="n">
        <v>13</v>
      </c>
      <c r="C15" t="n">
        <v>45.18</v>
      </c>
      <c r="D15" t="n">
        <v>83.03</v>
      </c>
      <c r="E15" t="n">
        <v>0.89</v>
      </c>
      <c r="F15" t="n">
        <v>1.37</v>
      </c>
      <c r="G15" t="n">
        <v>5.57</v>
      </c>
      <c r="H15" t="n">
        <v>0</v>
      </c>
      <c r="I15" t="n">
        <v>4.97</v>
      </c>
      <c r="J15" t="n">
        <v>250</v>
      </c>
      <c r="K15" t="n">
        <v>-245.03</v>
      </c>
      <c r="L15" t="n">
        <v>-5485.61</v>
      </c>
      <c r="M15" t="n">
        <v>-122.51</v>
      </c>
      <c r="N15" t="n">
        <v>-1745.03</v>
      </c>
    </row>
    <row r="16">
      <c r="A16" t="inlineStr">
        <is>
          <t>pesimista</t>
        </is>
      </c>
      <c r="B16" t="n">
        <v>14</v>
      </c>
      <c r="C16" t="n">
        <v>43.35</v>
      </c>
      <c r="D16" t="n">
        <v>80.02</v>
      </c>
      <c r="E16" t="n">
        <v>0.86</v>
      </c>
      <c r="F16" t="n">
        <v>1.32</v>
      </c>
      <c r="G16" t="n">
        <v>5.2</v>
      </c>
      <c r="H16" t="n">
        <v>0</v>
      </c>
      <c r="I16" t="n">
        <v>4.64</v>
      </c>
      <c r="J16" t="n">
        <v>250</v>
      </c>
      <c r="K16" t="n">
        <v>-245.36</v>
      </c>
      <c r="L16" t="n">
        <v>-5730.97</v>
      </c>
      <c r="M16" t="n">
        <v>-122.68</v>
      </c>
      <c r="N16" t="n">
        <v>-1745.36</v>
      </c>
    </row>
    <row r="17">
      <c r="A17" t="inlineStr">
        <is>
          <t>pesimista</t>
        </is>
      </c>
      <c r="B17" t="n">
        <v>15</v>
      </c>
      <c r="C17" t="n">
        <v>41.9</v>
      </c>
      <c r="D17" t="n">
        <v>77.59999999999999</v>
      </c>
      <c r="E17" t="n">
        <v>0.83</v>
      </c>
      <c r="F17" t="n">
        <v>1.28</v>
      </c>
      <c r="G17" t="n">
        <v>5.04</v>
      </c>
      <c r="H17" t="n">
        <v>0</v>
      </c>
      <c r="I17" t="n">
        <v>4.5</v>
      </c>
      <c r="J17" t="n">
        <v>250</v>
      </c>
      <c r="K17" t="n">
        <v>-245.5</v>
      </c>
      <c r="L17" t="n">
        <v>-5976.48</v>
      </c>
      <c r="M17" t="n">
        <v>-122.75</v>
      </c>
      <c r="N17" t="n">
        <v>-1745.5</v>
      </c>
    </row>
    <row r="18">
      <c r="A18" t="inlineStr">
        <is>
          <t>pesimista</t>
        </is>
      </c>
      <c r="B18" t="n">
        <v>16</v>
      </c>
      <c r="C18" t="n">
        <v>40.68</v>
      </c>
      <c r="D18" t="n">
        <v>75.56</v>
      </c>
      <c r="E18" t="n">
        <v>0.8100000000000001</v>
      </c>
      <c r="F18" t="n">
        <v>1.24</v>
      </c>
      <c r="G18" t="n">
        <v>5.07</v>
      </c>
      <c r="H18" t="n">
        <v>0</v>
      </c>
      <c r="I18" t="n">
        <v>4.52</v>
      </c>
      <c r="J18" t="n">
        <v>250</v>
      </c>
      <c r="K18" t="n">
        <v>-245.48</v>
      </c>
      <c r="L18" t="n">
        <v>-6221.95</v>
      </c>
      <c r="M18" t="n">
        <v>-122.74</v>
      </c>
      <c r="N18" t="n">
        <v>-1745.48</v>
      </c>
    </row>
    <row r="19">
      <c r="A19" t="inlineStr">
        <is>
          <t>pesimista</t>
        </is>
      </c>
      <c r="B19" t="n">
        <v>17</v>
      </c>
      <c r="C19" t="n">
        <v>39.49</v>
      </c>
      <c r="D19" t="n">
        <v>73.61</v>
      </c>
      <c r="E19" t="n">
        <v>0.79</v>
      </c>
      <c r="F19" t="n">
        <v>1.21</v>
      </c>
      <c r="G19" t="n">
        <v>4.78</v>
      </c>
      <c r="H19" t="n">
        <v>0</v>
      </c>
      <c r="I19" t="n">
        <v>4.26</v>
      </c>
      <c r="J19" t="n">
        <v>250</v>
      </c>
      <c r="K19" t="n">
        <v>-245.74</v>
      </c>
      <c r="L19" t="n">
        <v>-6467.69</v>
      </c>
      <c r="M19" t="n">
        <v>-122.87</v>
      </c>
      <c r="N19" t="n">
        <v>-1745.74</v>
      </c>
    </row>
    <row r="20">
      <c r="A20" t="inlineStr">
        <is>
          <t>pesimista</t>
        </is>
      </c>
      <c r="B20" t="n">
        <v>18</v>
      </c>
      <c r="C20" t="n">
        <v>38.56</v>
      </c>
      <c r="D20" t="n">
        <v>72.05</v>
      </c>
      <c r="E20" t="n">
        <v>0.77</v>
      </c>
      <c r="F20" t="n">
        <v>1.19</v>
      </c>
      <c r="G20" t="n">
        <v>4.84</v>
      </c>
      <c r="H20" t="n">
        <v>0</v>
      </c>
      <c r="I20" t="n">
        <v>4.31</v>
      </c>
      <c r="J20" t="n">
        <v>250</v>
      </c>
      <c r="K20" t="n">
        <v>-245.69</v>
      </c>
      <c r="L20" t="n">
        <v>-6713.37</v>
      </c>
      <c r="M20" t="n">
        <v>-122.84</v>
      </c>
      <c r="N20" t="n">
        <v>-1745.69</v>
      </c>
    </row>
    <row r="21">
      <c r="A21" t="inlineStr">
        <is>
          <t>pesimista</t>
        </is>
      </c>
      <c r="B21" t="n">
        <v>19</v>
      </c>
      <c r="C21" t="n">
        <v>37.68</v>
      </c>
      <c r="D21" t="n">
        <v>70.58</v>
      </c>
      <c r="E21" t="n">
        <v>0.75</v>
      </c>
      <c r="F21" t="n">
        <v>1.16</v>
      </c>
      <c r="G21" t="n">
        <v>4.59</v>
      </c>
      <c r="H21" t="n">
        <v>0</v>
      </c>
      <c r="I21" t="n">
        <v>4.09</v>
      </c>
      <c r="J21" t="n">
        <v>250</v>
      </c>
      <c r="K21" t="n">
        <v>-245.91</v>
      </c>
      <c r="L21" t="n">
        <v>-6959.28</v>
      </c>
      <c r="M21" t="n">
        <v>-122.96</v>
      </c>
      <c r="N21" t="n">
        <v>-1745.91</v>
      </c>
    </row>
    <row r="22">
      <c r="A22" t="inlineStr">
        <is>
          <t>pesimista</t>
        </is>
      </c>
      <c r="B22" t="n">
        <v>20</v>
      </c>
      <c r="C22" t="n">
        <v>36.96</v>
      </c>
      <c r="D22" t="n">
        <v>69.37</v>
      </c>
      <c r="E22" t="n">
        <v>0.74</v>
      </c>
      <c r="F22" t="n">
        <v>1.14</v>
      </c>
      <c r="G22" t="n">
        <v>4.51</v>
      </c>
      <c r="H22" t="n">
        <v>0</v>
      </c>
      <c r="I22" t="n">
        <v>4.02</v>
      </c>
      <c r="J22" t="n">
        <v>250</v>
      </c>
      <c r="K22" t="n">
        <v>-245.98</v>
      </c>
      <c r="L22" t="n">
        <v>-7205.27</v>
      </c>
      <c r="M22" t="n">
        <v>-122.99</v>
      </c>
      <c r="N22" t="n">
        <v>-1745.98</v>
      </c>
    </row>
    <row r="23">
      <c r="A23" t="inlineStr">
        <is>
          <t>pesimista</t>
        </is>
      </c>
      <c r="B23" t="n">
        <v>21</v>
      </c>
      <c r="C23" t="n">
        <v>36.34</v>
      </c>
      <c r="D23" t="n">
        <v>68.33</v>
      </c>
      <c r="E23" t="n">
        <v>0.73</v>
      </c>
      <c r="F23" t="n">
        <v>1.12</v>
      </c>
      <c r="G23" t="n">
        <v>4.59</v>
      </c>
      <c r="H23" t="n">
        <v>0</v>
      </c>
      <c r="I23" t="n">
        <v>4.09</v>
      </c>
      <c r="J23" t="n">
        <v>250</v>
      </c>
      <c r="K23" t="n">
        <v>-245.91</v>
      </c>
      <c r="L23" t="n">
        <v>-7451.17</v>
      </c>
      <c r="M23" t="n">
        <v>-122.95</v>
      </c>
      <c r="N23" t="n">
        <v>-1745.91</v>
      </c>
    </row>
    <row r="24">
      <c r="A24" t="inlineStr">
        <is>
          <t>pesimista</t>
        </is>
      </c>
      <c r="B24" t="n">
        <v>22</v>
      </c>
      <c r="C24" t="n">
        <v>35.76</v>
      </c>
      <c r="D24" t="n">
        <v>67.34999999999999</v>
      </c>
      <c r="E24" t="n">
        <v>0.72</v>
      </c>
      <c r="F24" t="n">
        <v>1.11</v>
      </c>
      <c r="G24" t="n">
        <v>4.38</v>
      </c>
      <c r="H24" t="n">
        <v>0</v>
      </c>
      <c r="I24" t="n">
        <v>3.9</v>
      </c>
      <c r="J24" t="n">
        <v>250</v>
      </c>
      <c r="K24" t="n">
        <v>-246.1</v>
      </c>
      <c r="L24" t="n">
        <v>-7697.27</v>
      </c>
      <c r="M24" t="n">
        <v>-123.05</v>
      </c>
      <c r="N24" t="n">
        <v>-1746.1</v>
      </c>
    </row>
    <row r="25">
      <c r="A25" t="inlineStr">
        <is>
          <t>pesimista</t>
        </is>
      </c>
      <c r="B25" t="n">
        <v>23</v>
      </c>
      <c r="C25" t="n">
        <v>35.29</v>
      </c>
      <c r="D25" t="n">
        <v>66.54000000000001</v>
      </c>
      <c r="E25" t="n">
        <v>0.71</v>
      </c>
      <c r="F25" t="n">
        <v>1.09</v>
      </c>
      <c r="G25" t="n">
        <v>4.47</v>
      </c>
      <c r="H25" t="n">
        <v>0</v>
      </c>
      <c r="I25" t="n">
        <v>3.98</v>
      </c>
      <c r="J25" t="n">
        <v>250</v>
      </c>
      <c r="K25" t="n">
        <v>-246.02</v>
      </c>
      <c r="L25" t="n">
        <v>-7943.29</v>
      </c>
      <c r="M25" t="n">
        <v>-123.01</v>
      </c>
      <c r="N25" t="n">
        <v>-1746.02</v>
      </c>
    </row>
    <row r="26">
      <c r="A26" t="inlineStr">
        <is>
          <t>pesimista</t>
        </is>
      </c>
      <c r="B26" t="n">
        <v>24</v>
      </c>
      <c r="C26" t="n">
        <v>34.86</v>
      </c>
      <c r="D26" t="n">
        <v>65.81</v>
      </c>
      <c r="E26" t="n">
        <v>0.7</v>
      </c>
      <c r="F26" t="n">
        <v>1.08</v>
      </c>
      <c r="G26" t="n">
        <v>4.28</v>
      </c>
      <c r="H26" t="n">
        <v>0</v>
      </c>
      <c r="I26" t="n">
        <v>3.81</v>
      </c>
      <c r="J26" t="n">
        <v>250</v>
      </c>
      <c r="K26" t="n">
        <v>-246.19</v>
      </c>
      <c r="L26" t="n">
        <v>-8189.47</v>
      </c>
      <c r="M26" t="n">
        <v>-123.09</v>
      </c>
      <c r="N26" t="n">
        <v>-1746.19</v>
      </c>
    </row>
    <row r="27">
      <c r="A27" t="inlineStr">
        <is>
          <t>base</t>
        </is>
      </c>
      <c r="B27" t="n">
        <v>1</v>
      </c>
      <c r="C27" t="n">
        <v>2451.06</v>
      </c>
      <c r="D27" t="n">
        <v>3854.24</v>
      </c>
      <c r="E27" t="n">
        <v>59.95</v>
      </c>
      <c r="F27" t="n">
        <v>92.23999999999999</v>
      </c>
      <c r="G27" t="n">
        <v>600.28</v>
      </c>
      <c r="H27" t="n">
        <v>351.97</v>
      </c>
      <c r="I27" t="n">
        <v>535.24</v>
      </c>
      <c r="J27" t="n">
        <v>601.97</v>
      </c>
      <c r="K27" t="n">
        <v>-66.73</v>
      </c>
      <c r="L27" t="n">
        <v>-2376.73</v>
      </c>
      <c r="M27" t="n">
        <v>-33.37</v>
      </c>
      <c r="N27" t="n">
        <v>-1566.73</v>
      </c>
    </row>
    <row r="28">
      <c r="A28" t="inlineStr">
        <is>
          <t>base</t>
        </is>
      </c>
      <c r="B28" t="n">
        <v>2</v>
      </c>
      <c r="C28" t="n">
        <v>1359.59</v>
      </c>
      <c r="D28" t="n">
        <v>2881.37</v>
      </c>
      <c r="E28" t="n">
        <v>44.82</v>
      </c>
      <c r="F28" t="n">
        <v>68.95</v>
      </c>
      <c r="G28" t="n">
        <v>434.28</v>
      </c>
      <c r="H28" t="n">
        <v>98.68000000000001</v>
      </c>
      <c r="I28" t="n">
        <v>387.23</v>
      </c>
      <c r="J28" t="n">
        <v>348.68</v>
      </c>
      <c r="K28" t="n">
        <v>38.55</v>
      </c>
      <c r="L28" t="n">
        <v>-2338.18</v>
      </c>
      <c r="M28" t="n">
        <v>19.27</v>
      </c>
      <c r="N28" t="n">
        <v>-1461.45</v>
      </c>
    </row>
    <row r="29">
      <c r="A29" t="inlineStr">
        <is>
          <t>base</t>
        </is>
      </c>
      <c r="B29" t="n">
        <v>3</v>
      </c>
      <c r="C29" t="n">
        <v>1340.98</v>
      </c>
      <c r="D29" t="n">
        <v>2952.44</v>
      </c>
      <c r="E29" t="n">
        <v>45.93</v>
      </c>
      <c r="F29" t="n">
        <v>70.66</v>
      </c>
      <c r="G29" t="n">
        <v>459.82</v>
      </c>
      <c r="H29" t="n">
        <v>101.97</v>
      </c>
      <c r="I29" t="n">
        <v>410.01</v>
      </c>
      <c r="J29" t="n">
        <v>351.97</v>
      </c>
      <c r="K29" t="n">
        <v>58.03</v>
      </c>
      <c r="L29" t="n">
        <v>-2280.15</v>
      </c>
      <c r="M29" t="n">
        <v>29.02</v>
      </c>
      <c r="N29" t="n">
        <v>-1441.97</v>
      </c>
    </row>
    <row r="30">
      <c r="A30" t="inlineStr">
        <is>
          <t>base</t>
        </is>
      </c>
      <c r="B30" t="n">
        <v>4</v>
      </c>
      <c r="C30" t="n">
        <v>1228.2</v>
      </c>
      <c r="D30" t="n">
        <v>2920.18</v>
      </c>
      <c r="E30" t="n">
        <v>45.43</v>
      </c>
      <c r="F30" t="n">
        <v>69.88</v>
      </c>
      <c r="G30" t="n">
        <v>440.13</v>
      </c>
      <c r="H30" t="n">
        <v>98.68000000000001</v>
      </c>
      <c r="I30" t="n">
        <v>392.45</v>
      </c>
      <c r="J30" t="n">
        <v>348.68</v>
      </c>
      <c r="K30" t="n">
        <v>43.76</v>
      </c>
      <c r="L30" t="n">
        <v>-2236.38</v>
      </c>
      <c r="M30" t="n">
        <v>21.88</v>
      </c>
      <c r="N30" t="n">
        <v>-1456.24</v>
      </c>
    </row>
    <row r="31">
      <c r="A31" t="inlineStr">
        <is>
          <t>base</t>
        </is>
      </c>
      <c r="B31" t="n">
        <v>5</v>
      </c>
      <c r="C31" t="n">
        <v>1230.02</v>
      </c>
      <c r="D31" t="n">
        <v>2983.21</v>
      </c>
      <c r="E31" t="n">
        <v>46.41</v>
      </c>
      <c r="F31" t="n">
        <v>71.39</v>
      </c>
      <c r="G31" t="n">
        <v>449.63</v>
      </c>
      <c r="H31" t="n">
        <v>98.68000000000001</v>
      </c>
      <c r="I31" t="n">
        <v>400.92</v>
      </c>
      <c r="J31" t="n">
        <v>348.68</v>
      </c>
      <c r="K31" t="n">
        <v>52.23</v>
      </c>
      <c r="L31" t="n">
        <v>-2184.15</v>
      </c>
      <c r="M31" t="n">
        <v>26.12</v>
      </c>
      <c r="N31" t="n">
        <v>-1447.77</v>
      </c>
    </row>
    <row r="32">
      <c r="A32" t="inlineStr">
        <is>
          <t>base</t>
        </is>
      </c>
      <c r="B32" t="n">
        <v>6</v>
      </c>
      <c r="C32" t="n">
        <v>1155.7</v>
      </c>
      <c r="D32" t="n">
        <v>2967.26</v>
      </c>
      <c r="E32" t="n">
        <v>46.16</v>
      </c>
      <c r="F32" t="n">
        <v>71.01000000000001</v>
      </c>
      <c r="G32" t="n">
        <v>462.13</v>
      </c>
      <c r="H32" t="n">
        <v>101.97</v>
      </c>
      <c r="I32" t="n">
        <v>412.07</v>
      </c>
      <c r="J32" t="n">
        <v>351.97</v>
      </c>
      <c r="K32" t="n">
        <v>60.09</v>
      </c>
      <c r="L32" t="n">
        <v>-2124.06</v>
      </c>
      <c r="M32" t="n">
        <v>30.05</v>
      </c>
      <c r="N32" t="n">
        <v>-1439.91</v>
      </c>
    </row>
    <row r="33">
      <c r="A33" t="inlineStr">
        <is>
          <t>base</t>
        </is>
      </c>
      <c r="B33" t="n">
        <v>7</v>
      </c>
      <c r="C33" t="n">
        <v>1132.25</v>
      </c>
      <c r="D33" t="n">
        <v>2969.87</v>
      </c>
      <c r="E33" t="n">
        <v>46.2</v>
      </c>
      <c r="F33" t="n">
        <v>71.06999999999999</v>
      </c>
      <c r="G33" t="n">
        <v>447.62</v>
      </c>
      <c r="H33" t="n">
        <v>98.68000000000001</v>
      </c>
      <c r="I33" t="n">
        <v>399.12</v>
      </c>
      <c r="J33" t="n">
        <v>348.68</v>
      </c>
      <c r="K33" t="n">
        <v>50.44</v>
      </c>
      <c r="L33" t="n">
        <v>-2073.62</v>
      </c>
      <c r="M33" t="n">
        <v>25.22</v>
      </c>
      <c r="N33" t="n">
        <v>-1449.56</v>
      </c>
    </row>
    <row r="34">
      <c r="A34" t="inlineStr">
        <is>
          <t>base</t>
        </is>
      </c>
      <c r="B34" t="n">
        <v>8</v>
      </c>
      <c r="C34" t="n">
        <v>1097.53</v>
      </c>
      <c r="D34" t="n">
        <v>2979.38</v>
      </c>
      <c r="E34" t="n">
        <v>46.35</v>
      </c>
      <c r="F34" t="n">
        <v>71.3</v>
      </c>
      <c r="G34" t="n">
        <v>464.02</v>
      </c>
      <c r="H34" t="n">
        <v>101.97</v>
      </c>
      <c r="I34" t="n">
        <v>413.75</v>
      </c>
      <c r="J34" t="n">
        <v>351.97</v>
      </c>
      <c r="K34" t="n">
        <v>61.78</v>
      </c>
      <c r="L34" t="n">
        <v>-2011.84</v>
      </c>
      <c r="M34" t="n">
        <v>30.89</v>
      </c>
      <c r="N34" t="n">
        <v>-1438.22</v>
      </c>
    </row>
    <row r="35">
      <c r="A35" t="inlineStr">
        <is>
          <t>base</t>
        </is>
      </c>
      <c r="B35" t="n">
        <v>9</v>
      </c>
      <c r="C35" t="n">
        <v>1043.97</v>
      </c>
      <c r="D35" t="n">
        <v>2932.6</v>
      </c>
      <c r="E35" t="n">
        <v>45.62</v>
      </c>
      <c r="F35" t="n">
        <v>70.18000000000001</v>
      </c>
      <c r="G35" t="n">
        <v>442</v>
      </c>
      <c r="H35" t="n">
        <v>98.68000000000001</v>
      </c>
      <c r="I35" t="n">
        <v>394.12</v>
      </c>
      <c r="J35" t="n">
        <v>348.68</v>
      </c>
      <c r="K35" t="n">
        <v>45.43</v>
      </c>
      <c r="L35" t="n">
        <v>-1966.41</v>
      </c>
      <c r="M35" t="n">
        <v>22.72</v>
      </c>
      <c r="N35" t="n">
        <v>-1454.57</v>
      </c>
    </row>
    <row r="36">
      <c r="A36" t="inlineStr">
        <is>
          <t>base</t>
        </is>
      </c>
      <c r="B36" t="n">
        <v>10</v>
      </c>
      <c r="C36" t="n">
        <v>1028.12</v>
      </c>
      <c r="D36" t="n">
        <v>2946.21</v>
      </c>
      <c r="E36" t="n">
        <v>45.83</v>
      </c>
      <c r="F36" t="n">
        <v>70.51000000000001</v>
      </c>
      <c r="G36" t="n">
        <v>444.05</v>
      </c>
      <c r="H36" t="n">
        <v>98.68000000000001</v>
      </c>
      <c r="I36" t="n">
        <v>395.95</v>
      </c>
      <c r="J36" t="n">
        <v>348.68</v>
      </c>
      <c r="K36" t="n">
        <v>47.26</v>
      </c>
      <c r="L36" t="n">
        <v>-1919.15</v>
      </c>
      <c r="M36" t="n">
        <v>23.63</v>
      </c>
      <c r="N36" t="n">
        <v>-1452.74</v>
      </c>
    </row>
    <row r="37">
      <c r="A37" t="inlineStr">
        <is>
          <t>base</t>
        </is>
      </c>
      <c r="B37" t="n">
        <v>11</v>
      </c>
      <c r="C37" t="n">
        <v>768.05</v>
      </c>
      <c r="D37" t="n">
        <v>2564.47</v>
      </c>
      <c r="E37" t="n">
        <v>39.89</v>
      </c>
      <c r="F37" t="n">
        <v>61.37</v>
      </c>
      <c r="G37" t="n">
        <v>399.4</v>
      </c>
      <c r="H37" t="n">
        <v>101.97</v>
      </c>
      <c r="I37" t="n">
        <v>356.13</v>
      </c>
      <c r="J37" t="n">
        <v>351.97</v>
      </c>
      <c r="K37" t="n">
        <v>4.16</v>
      </c>
      <c r="L37" t="n">
        <v>-1914.99</v>
      </c>
      <c r="M37" t="n">
        <v>2.08</v>
      </c>
      <c r="N37" t="n">
        <v>-1495.84</v>
      </c>
    </row>
    <row r="38">
      <c r="A38" t="inlineStr">
        <is>
          <t>base</t>
        </is>
      </c>
      <c r="B38" t="n">
        <v>12</v>
      </c>
      <c r="C38" t="n">
        <v>792.95</v>
      </c>
      <c r="D38" t="n">
        <v>2541.81</v>
      </c>
      <c r="E38" t="n">
        <v>39.54</v>
      </c>
      <c r="F38" t="n">
        <v>60.83</v>
      </c>
      <c r="G38" t="n">
        <v>383.1</v>
      </c>
      <c r="H38" t="n">
        <v>98.68000000000001</v>
      </c>
      <c r="I38" t="n">
        <v>341.6</v>
      </c>
      <c r="J38" t="n">
        <v>348.68</v>
      </c>
      <c r="K38" t="n">
        <v>-7.09</v>
      </c>
      <c r="L38" t="n">
        <v>-1922.08</v>
      </c>
      <c r="M38" t="n">
        <v>-3.54</v>
      </c>
      <c r="N38" t="n">
        <v>-1507.09</v>
      </c>
    </row>
    <row r="39">
      <c r="A39" t="inlineStr">
        <is>
          <t>base</t>
        </is>
      </c>
      <c r="B39" t="n">
        <v>13</v>
      </c>
      <c r="C39" t="n">
        <v>736.91</v>
      </c>
      <c r="D39" t="n">
        <v>2458.43</v>
      </c>
      <c r="E39" t="n">
        <v>38.24</v>
      </c>
      <c r="F39" t="n">
        <v>58.83</v>
      </c>
      <c r="G39" t="n">
        <v>382.89</v>
      </c>
      <c r="H39" t="n">
        <v>101.97</v>
      </c>
      <c r="I39" t="n">
        <v>341.41</v>
      </c>
      <c r="J39" t="n">
        <v>351.97</v>
      </c>
      <c r="K39" t="n">
        <v>-10.57</v>
      </c>
      <c r="L39" t="n">
        <v>-1932.64</v>
      </c>
      <c r="M39" t="n">
        <v>-5.28</v>
      </c>
      <c r="N39" t="n">
        <v>-1510.57</v>
      </c>
    </row>
    <row r="40">
      <c r="A40" t="inlineStr">
        <is>
          <t>base</t>
        </is>
      </c>
      <c r="B40" t="n">
        <v>14</v>
      </c>
      <c r="C40" t="n">
        <v>752.85</v>
      </c>
      <c r="D40" t="n">
        <v>2459.47</v>
      </c>
      <c r="E40" t="n">
        <v>38.26</v>
      </c>
      <c r="F40" t="n">
        <v>58.86</v>
      </c>
      <c r="G40" t="n">
        <v>370.69</v>
      </c>
      <c r="H40" t="n">
        <v>98.68000000000001</v>
      </c>
      <c r="I40" t="n">
        <v>330.53</v>
      </c>
      <c r="J40" t="n">
        <v>348.68</v>
      </c>
      <c r="K40" t="n">
        <v>-18.15</v>
      </c>
      <c r="L40" t="n">
        <v>-1950.8</v>
      </c>
      <c r="M40" t="n">
        <v>-9.08</v>
      </c>
      <c r="N40" t="n">
        <v>-1518.15</v>
      </c>
    </row>
    <row r="41">
      <c r="A41" t="inlineStr">
        <is>
          <t>base</t>
        </is>
      </c>
      <c r="B41" t="n">
        <v>15</v>
      </c>
      <c r="C41" t="n">
        <v>714.97</v>
      </c>
      <c r="D41" t="n">
        <v>2413.77</v>
      </c>
      <c r="E41" t="n">
        <v>37.55</v>
      </c>
      <c r="F41" t="n">
        <v>57.76</v>
      </c>
      <c r="G41" t="n">
        <v>363.8</v>
      </c>
      <c r="H41" t="n">
        <v>98.68000000000001</v>
      </c>
      <c r="I41" t="n">
        <v>324.39</v>
      </c>
      <c r="J41" t="n">
        <v>348.68</v>
      </c>
      <c r="K41" t="n">
        <v>-24.29</v>
      </c>
      <c r="L41" t="n">
        <v>-1975.09</v>
      </c>
      <c r="M41" t="n">
        <v>-12.15</v>
      </c>
      <c r="N41" t="n">
        <v>-1524.29</v>
      </c>
    </row>
    <row r="42">
      <c r="A42" t="inlineStr">
        <is>
          <t>base</t>
        </is>
      </c>
      <c r="B42" t="n">
        <v>16</v>
      </c>
      <c r="C42" t="n">
        <v>714.65</v>
      </c>
      <c r="D42" t="n">
        <v>2400.05</v>
      </c>
      <c r="E42" t="n">
        <v>37.33</v>
      </c>
      <c r="F42" t="n">
        <v>57.44</v>
      </c>
      <c r="G42" t="n">
        <v>373.79</v>
      </c>
      <c r="H42" t="n">
        <v>101.97</v>
      </c>
      <c r="I42" t="n">
        <v>333.3</v>
      </c>
      <c r="J42" t="n">
        <v>351.97</v>
      </c>
      <c r="K42" t="n">
        <v>-18.68</v>
      </c>
      <c r="L42" t="n">
        <v>-1993.77</v>
      </c>
      <c r="M42" t="n">
        <v>-9.34</v>
      </c>
      <c r="N42" t="n">
        <v>-1518.68</v>
      </c>
    </row>
    <row r="43">
      <c r="A43" t="inlineStr">
        <is>
          <t>base</t>
        </is>
      </c>
      <c r="B43" t="n">
        <v>17</v>
      </c>
      <c r="C43" t="n">
        <v>697.15</v>
      </c>
      <c r="D43" t="n">
        <v>2383.68</v>
      </c>
      <c r="E43" t="n">
        <v>37.08</v>
      </c>
      <c r="F43" t="n">
        <v>57.04</v>
      </c>
      <c r="G43" t="n">
        <v>359.27</v>
      </c>
      <c r="H43" t="n">
        <v>98.68000000000001</v>
      </c>
      <c r="I43" t="n">
        <v>320.35</v>
      </c>
      <c r="J43" t="n">
        <v>348.68</v>
      </c>
      <c r="K43" t="n">
        <v>-28.34</v>
      </c>
      <c r="L43" t="n">
        <v>-2022.11</v>
      </c>
      <c r="M43" t="n">
        <v>-14.17</v>
      </c>
      <c r="N43" t="n">
        <v>-1528.34</v>
      </c>
    </row>
    <row r="44">
      <c r="A44" t="inlineStr">
        <is>
          <t>base</t>
        </is>
      </c>
      <c r="B44" t="n">
        <v>18</v>
      </c>
      <c r="C44" t="n">
        <v>681.47</v>
      </c>
      <c r="D44" t="n">
        <v>2354.51</v>
      </c>
      <c r="E44" t="n">
        <v>36.63</v>
      </c>
      <c r="F44" t="n">
        <v>56.35</v>
      </c>
      <c r="G44" t="n">
        <v>366.7</v>
      </c>
      <c r="H44" t="n">
        <v>101.97</v>
      </c>
      <c r="I44" t="n">
        <v>326.97</v>
      </c>
      <c r="J44" t="n">
        <v>351.97</v>
      </c>
      <c r="K44" t="n">
        <v>-25</v>
      </c>
      <c r="L44" t="n">
        <v>-2047.11</v>
      </c>
      <c r="M44" t="n">
        <v>-12.5</v>
      </c>
      <c r="N44" t="n">
        <v>-1525</v>
      </c>
    </row>
    <row r="45">
      <c r="A45" t="inlineStr">
        <is>
          <t>base</t>
        </is>
      </c>
      <c r="B45" t="n">
        <v>19</v>
      </c>
      <c r="C45" t="n">
        <v>685.4400000000001</v>
      </c>
      <c r="D45" t="n">
        <v>2364.23</v>
      </c>
      <c r="E45" t="n">
        <v>36.78</v>
      </c>
      <c r="F45" t="n">
        <v>56.58</v>
      </c>
      <c r="G45" t="n">
        <v>356.34</v>
      </c>
      <c r="H45" t="n">
        <v>98.68000000000001</v>
      </c>
      <c r="I45" t="n">
        <v>317.73</v>
      </c>
      <c r="J45" t="n">
        <v>348.68</v>
      </c>
      <c r="K45" t="n">
        <v>-30.95</v>
      </c>
      <c r="L45" t="n">
        <v>-2078.06</v>
      </c>
      <c r="M45" t="n">
        <v>-15.48</v>
      </c>
      <c r="N45" t="n">
        <v>-1530.95</v>
      </c>
    </row>
    <row r="46">
      <c r="A46" t="inlineStr">
        <is>
          <t>base</t>
        </is>
      </c>
      <c r="B46" t="n">
        <v>20</v>
      </c>
      <c r="C46" t="n">
        <v>650.9299999999999</v>
      </c>
      <c r="D46" t="n">
        <v>2318.88</v>
      </c>
      <c r="E46" t="n">
        <v>36.07</v>
      </c>
      <c r="F46" t="n">
        <v>55.49</v>
      </c>
      <c r="G46" t="n">
        <v>349.5</v>
      </c>
      <c r="H46" t="n">
        <v>98.68000000000001</v>
      </c>
      <c r="I46" t="n">
        <v>311.64</v>
      </c>
      <c r="J46" t="n">
        <v>348.68</v>
      </c>
      <c r="K46" t="n">
        <v>-37.05</v>
      </c>
      <c r="L46" t="n">
        <v>-2115.11</v>
      </c>
      <c r="M46" t="n">
        <v>-18.52</v>
      </c>
      <c r="N46" t="n">
        <v>-1537.05</v>
      </c>
    </row>
    <row r="47">
      <c r="A47" t="inlineStr">
        <is>
          <t>base</t>
        </is>
      </c>
      <c r="B47" t="n">
        <v>21</v>
      </c>
      <c r="C47" t="n">
        <v>677.13</v>
      </c>
      <c r="D47" t="n">
        <v>2348.19</v>
      </c>
      <c r="E47" t="n">
        <v>36.53</v>
      </c>
      <c r="F47" t="n">
        <v>56.19</v>
      </c>
      <c r="G47" t="n">
        <v>365.72</v>
      </c>
      <c r="H47" t="n">
        <v>101.97</v>
      </c>
      <c r="I47" t="n">
        <v>326.1</v>
      </c>
      <c r="J47" t="n">
        <v>351.97</v>
      </c>
      <c r="K47" t="n">
        <v>-25.88</v>
      </c>
      <c r="L47" t="n">
        <v>-2140.98</v>
      </c>
      <c r="M47" t="n">
        <v>-12.94</v>
      </c>
      <c r="N47" t="n">
        <v>-1525.88</v>
      </c>
    </row>
    <row r="48">
      <c r="A48" t="inlineStr">
        <is>
          <t>base</t>
        </is>
      </c>
      <c r="B48" t="n">
        <v>22</v>
      </c>
      <c r="C48" t="n">
        <v>637.89</v>
      </c>
      <c r="D48" t="n">
        <v>2303.69</v>
      </c>
      <c r="E48" t="n">
        <v>35.84</v>
      </c>
      <c r="F48" t="n">
        <v>55.13</v>
      </c>
      <c r="G48" t="n">
        <v>347.21</v>
      </c>
      <c r="H48" t="n">
        <v>98.68000000000001</v>
      </c>
      <c r="I48" t="n">
        <v>309.6</v>
      </c>
      <c r="J48" t="n">
        <v>348.68</v>
      </c>
      <c r="K48" t="n">
        <v>-39.09</v>
      </c>
      <c r="L48" t="n">
        <v>-2180.07</v>
      </c>
      <c r="M48" t="n">
        <v>-19.54</v>
      </c>
      <c r="N48" t="n">
        <v>-1539.09</v>
      </c>
    </row>
    <row r="49">
      <c r="A49" t="inlineStr">
        <is>
          <t>base</t>
        </is>
      </c>
      <c r="B49" t="n">
        <v>23</v>
      </c>
      <c r="C49" t="n">
        <v>657.5700000000001</v>
      </c>
      <c r="D49" t="n">
        <v>2323.39</v>
      </c>
      <c r="E49" t="n">
        <v>36.14</v>
      </c>
      <c r="F49" t="n">
        <v>55.6</v>
      </c>
      <c r="G49" t="n">
        <v>361.85</v>
      </c>
      <c r="H49" t="n">
        <v>101.97</v>
      </c>
      <c r="I49" t="n">
        <v>322.65</v>
      </c>
      <c r="J49" t="n">
        <v>351.97</v>
      </c>
      <c r="K49" t="n">
        <v>-29.32</v>
      </c>
      <c r="L49" t="n">
        <v>-2209.39</v>
      </c>
      <c r="M49" t="n">
        <v>-14.66</v>
      </c>
      <c r="N49" t="n">
        <v>-1529.32</v>
      </c>
    </row>
    <row r="50">
      <c r="A50" t="inlineStr">
        <is>
          <t>base</t>
        </is>
      </c>
      <c r="B50" t="n">
        <v>24</v>
      </c>
      <c r="C50" t="n">
        <v>628.27</v>
      </c>
      <c r="D50" t="n">
        <v>2294.03</v>
      </c>
      <c r="E50" t="n">
        <v>35.68</v>
      </c>
      <c r="F50" t="n">
        <v>54.9</v>
      </c>
      <c r="G50" t="n">
        <v>345.76</v>
      </c>
      <c r="H50" t="n">
        <v>98.68000000000001</v>
      </c>
      <c r="I50" t="n">
        <v>308.3</v>
      </c>
      <c r="J50" t="n">
        <v>348.68</v>
      </c>
      <c r="K50" t="n">
        <v>-40.39</v>
      </c>
      <c r="L50" t="n">
        <v>-2249.78</v>
      </c>
      <c r="M50" t="n">
        <v>-20.19</v>
      </c>
      <c r="N50" t="n">
        <v>-1540.39</v>
      </c>
    </row>
    <row r="51">
      <c r="A51" t="inlineStr">
        <is>
          <t>optimista</t>
        </is>
      </c>
      <c r="B51" t="n">
        <v>1</v>
      </c>
      <c r="C51" t="n">
        <v>6351.3</v>
      </c>
      <c r="D51" t="n">
        <v>12954.66</v>
      </c>
      <c r="E51" t="n">
        <v>275.29</v>
      </c>
      <c r="F51" t="n">
        <v>423.51</v>
      </c>
      <c r="G51" t="n">
        <v>4265.03</v>
      </c>
      <c r="H51" t="n">
        <v>754.9299999999999</v>
      </c>
      <c r="I51" t="n">
        <v>3802.97</v>
      </c>
      <c r="J51" t="n">
        <v>1385.23</v>
      </c>
      <c r="K51" t="n">
        <v>2417.74</v>
      </c>
      <c r="L51" t="n">
        <v>107.74</v>
      </c>
      <c r="M51" t="n">
        <v>1208.87</v>
      </c>
      <c r="N51" t="n">
        <v>917.74</v>
      </c>
    </row>
    <row r="52">
      <c r="A52" t="inlineStr">
        <is>
          <t>optimista</t>
        </is>
      </c>
      <c r="B52" t="n">
        <v>2</v>
      </c>
      <c r="C52" t="n">
        <v>4678.34</v>
      </c>
      <c r="D52" t="n">
        <v>14258.32</v>
      </c>
      <c r="E52" t="n">
        <v>302.99</v>
      </c>
      <c r="F52" t="n">
        <v>466.13</v>
      </c>
      <c r="G52" t="n">
        <v>4542.8</v>
      </c>
      <c r="H52" t="n">
        <v>246.71</v>
      </c>
      <c r="I52" t="n">
        <v>4050.65</v>
      </c>
      <c r="J52" t="n">
        <v>901.78</v>
      </c>
      <c r="K52" t="n">
        <v>3148.88</v>
      </c>
      <c r="L52" t="n">
        <v>3256.61</v>
      </c>
      <c r="M52" t="n">
        <v>1574.44</v>
      </c>
      <c r="N52" t="n">
        <v>1648.88</v>
      </c>
    </row>
    <row r="53">
      <c r="A53" t="inlineStr">
        <is>
          <t>optimista</t>
        </is>
      </c>
      <c r="B53" t="n">
        <v>3</v>
      </c>
      <c r="C53" t="n">
        <v>5829.8</v>
      </c>
      <c r="D53" t="n">
        <v>18477.06</v>
      </c>
      <c r="E53" t="n">
        <v>392.64</v>
      </c>
      <c r="F53" t="n">
        <v>604.05</v>
      </c>
      <c r="G53" t="n">
        <v>6083.16</v>
      </c>
      <c r="H53" t="n">
        <v>254.93</v>
      </c>
      <c r="I53" t="n">
        <v>5424.12</v>
      </c>
      <c r="J53" t="n">
        <v>1047.35</v>
      </c>
      <c r="K53" t="n">
        <v>4376.78</v>
      </c>
      <c r="L53" t="n">
        <v>7633.39</v>
      </c>
      <c r="M53" t="n">
        <v>2188.39</v>
      </c>
      <c r="N53" t="n">
        <v>2876.78</v>
      </c>
    </row>
    <row r="54">
      <c r="A54" t="inlineStr">
        <is>
          <t>optimista</t>
        </is>
      </c>
      <c r="B54" t="n">
        <v>4</v>
      </c>
      <c r="C54" t="n">
        <v>7141.14</v>
      </c>
      <c r="D54" t="n">
        <v>23797.55</v>
      </c>
      <c r="E54" t="n">
        <v>505.7</v>
      </c>
      <c r="F54" t="n">
        <v>777.98</v>
      </c>
      <c r="G54" t="n">
        <v>7582.07</v>
      </c>
      <c r="H54" t="n">
        <v>246.71</v>
      </c>
      <c r="I54" t="n">
        <v>6760.65</v>
      </c>
      <c r="J54" t="n">
        <v>1172.78</v>
      </c>
      <c r="K54" t="n">
        <v>5587.88</v>
      </c>
      <c r="L54" t="n">
        <v>13221.27</v>
      </c>
      <c r="M54" t="n">
        <v>2793.94</v>
      </c>
      <c r="N54" t="n">
        <v>4087.88</v>
      </c>
    </row>
    <row r="55">
      <c r="A55" t="inlineStr">
        <is>
          <t>optimista</t>
        </is>
      </c>
      <c r="B55" t="n">
        <v>5</v>
      </c>
      <c r="C55" t="n">
        <v>8136.6</v>
      </c>
      <c r="D55" t="n">
        <v>29008.65</v>
      </c>
      <c r="E55" t="n">
        <v>616.4299999999999</v>
      </c>
      <c r="F55" t="n">
        <v>948.34</v>
      </c>
      <c r="G55" t="n">
        <v>9242.370000000001</v>
      </c>
      <c r="H55" t="n">
        <v>246.71</v>
      </c>
      <c r="I55" t="n">
        <v>8241.08</v>
      </c>
      <c r="J55" t="n">
        <v>1320.82</v>
      </c>
      <c r="K55" t="n">
        <v>6920.26</v>
      </c>
      <c r="L55" t="n">
        <v>20141.52</v>
      </c>
      <c r="M55" t="n">
        <v>3460.13</v>
      </c>
      <c r="N55" t="n">
        <v>5420.26</v>
      </c>
    </row>
    <row r="56">
      <c r="A56" t="inlineStr">
        <is>
          <t>optimista</t>
        </is>
      </c>
      <c r="B56" t="n">
        <v>6</v>
      </c>
      <c r="C56" t="n">
        <v>8137.04</v>
      </c>
      <c r="D56" t="n">
        <v>32227.7</v>
      </c>
      <c r="E56" t="n">
        <v>684.84</v>
      </c>
      <c r="F56" t="n">
        <v>1053.58</v>
      </c>
      <c r="G56" t="n">
        <v>10610.24</v>
      </c>
      <c r="H56" t="n">
        <v>254.93</v>
      </c>
      <c r="I56" t="n">
        <v>9460.76</v>
      </c>
      <c r="J56" t="n">
        <v>1451.01</v>
      </c>
      <c r="K56" t="n">
        <v>8009.75</v>
      </c>
      <c r="L56" t="n">
        <v>28151.27</v>
      </c>
      <c r="M56" t="n">
        <v>4004.87</v>
      </c>
      <c r="N56" t="n">
        <v>6509.75</v>
      </c>
    </row>
    <row r="57">
      <c r="A57" t="inlineStr">
        <is>
          <t>optimista</t>
        </is>
      </c>
      <c r="B57" t="n">
        <v>7</v>
      </c>
      <c r="C57" t="n">
        <v>8028.46</v>
      </c>
      <c r="D57" t="n">
        <v>34470.78</v>
      </c>
      <c r="E57" t="n">
        <v>732.5</v>
      </c>
      <c r="F57" t="n">
        <v>1126.91</v>
      </c>
      <c r="G57" t="n">
        <v>10982.64</v>
      </c>
      <c r="H57" t="n">
        <v>246.71</v>
      </c>
      <c r="I57" t="n">
        <v>9792.809999999999</v>
      </c>
      <c r="J57" t="n">
        <v>1475.99</v>
      </c>
      <c r="K57" t="n">
        <v>8316.82</v>
      </c>
      <c r="L57" t="n">
        <v>36468.09</v>
      </c>
      <c r="M57" t="n">
        <v>4158.41</v>
      </c>
      <c r="N57" t="n">
        <v>6816.82</v>
      </c>
    </row>
    <row r="58">
      <c r="A58" t="inlineStr">
        <is>
          <t>optimista</t>
        </is>
      </c>
      <c r="B58" t="n">
        <v>8</v>
      </c>
      <c r="C58" t="n">
        <v>7757.04</v>
      </c>
      <c r="D58" t="n">
        <v>36042.08</v>
      </c>
      <c r="E58" t="n">
        <v>765.89</v>
      </c>
      <c r="F58" t="n">
        <v>1178.28</v>
      </c>
      <c r="G58" t="n">
        <v>11866.04</v>
      </c>
      <c r="H58" t="n">
        <v>254.93</v>
      </c>
      <c r="I58" t="n">
        <v>10580.51</v>
      </c>
      <c r="J58" t="n">
        <v>2092.01</v>
      </c>
      <c r="K58" t="n">
        <v>8488.5</v>
      </c>
      <c r="L58" t="n">
        <v>44956.59</v>
      </c>
      <c r="M58" t="n">
        <v>4244.25</v>
      </c>
      <c r="N58" t="n">
        <v>6988.5</v>
      </c>
    </row>
    <row r="59">
      <c r="A59" t="inlineStr">
        <is>
          <t>optimista</t>
        </is>
      </c>
      <c r="B59" t="n">
        <v>9</v>
      </c>
      <c r="C59" t="n">
        <v>7498.68</v>
      </c>
      <c r="D59" t="n">
        <v>37268.32</v>
      </c>
      <c r="E59" t="n">
        <v>791.95</v>
      </c>
      <c r="F59" t="n">
        <v>1218.36</v>
      </c>
      <c r="G59" t="n">
        <v>11873.95</v>
      </c>
      <c r="H59" t="n">
        <v>246.71</v>
      </c>
      <c r="I59" t="n">
        <v>10587.57</v>
      </c>
      <c r="J59" t="n">
        <v>2084.85</v>
      </c>
      <c r="K59" t="n">
        <v>8502.719999999999</v>
      </c>
      <c r="L59" t="n">
        <v>53459.31</v>
      </c>
      <c r="M59" t="n">
        <v>4251.36</v>
      </c>
      <c r="N59" t="n">
        <v>7002.72</v>
      </c>
    </row>
    <row r="60">
      <c r="A60" t="inlineStr">
        <is>
          <t>optimista</t>
        </is>
      </c>
      <c r="B60" t="n">
        <v>10</v>
      </c>
      <c r="C60" t="n">
        <v>7291.33</v>
      </c>
      <c r="D60" t="n">
        <v>38300.56</v>
      </c>
      <c r="E60" t="n">
        <v>813.89</v>
      </c>
      <c r="F60" t="n">
        <v>1252.11</v>
      </c>
      <c r="G60" t="n">
        <v>12202.84</v>
      </c>
      <c r="H60" t="n">
        <v>246.71</v>
      </c>
      <c r="I60" t="n">
        <v>10880.82</v>
      </c>
      <c r="J60" t="n">
        <v>2128.83</v>
      </c>
      <c r="K60" t="n">
        <v>8751.98</v>
      </c>
      <c r="L60" t="n">
        <v>62211.29</v>
      </c>
      <c r="M60" t="n">
        <v>4375.99</v>
      </c>
      <c r="N60" t="n">
        <v>7251.98</v>
      </c>
    </row>
    <row r="61">
      <c r="A61" t="inlineStr">
        <is>
          <t>optimista</t>
        </is>
      </c>
      <c r="B61" t="n">
        <v>11</v>
      </c>
      <c r="C61" t="n">
        <v>7067.61</v>
      </c>
      <c r="D61" t="n">
        <v>39149.42</v>
      </c>
      <c r="E61" t="n">
        <v>831.9299999999999</v>
      </c>
      <c r="F61" t="n">
        <v>1279.86</v>
      </c>
      <c r="G61" t="n">
        <v>12889.06</v>
      </c>
      <c r="H61" t="n">
        <v>254.93</v>
      </c>
      <c r="I61" t="n">
        <v>11492.7</v>
      </c>
      <c r="J61" t="n">
        <v>2228.84</v>
      </c>
      <c r="K61" t="n">
        <v>9263.860000000001</v>
      </c>
      <c r="L61" t="n">
        <v>71475.16</v>
      </c>
      <c r="M61" t="n">
        <v>4631.93</v>
      </c>
      <c r="N61" t="n">
        <v>7763.86</v>
      </c>
    </row>
    <row r="62">
      <c r="A62" t="inlineStr">
        <is>
          <t>optimista</t>
        </is>
      </c>
      <c r="B62" t="n">
        <v>12</v>
      </c>
      <c r="C62" t="n">
        <v>7025.84</v>
      </c>
      <c r="D62" t="n">
        <v>40053.14</v>
      </c>
      <c r="E62" t="n">
        <v>851.13</v>
      </c>
      <c r="F62" t="n">
        <v>1309.41</v>
      </c>
      <c r="G62" t="n">
        <v>12761.22</v>
      </c>
      <c r="H62" t="n">
        <v>246.71</v>
      </c>
      <c r="I62" t="n">
        <v>11378.71</v>
      </c>
      <c r="J62" t="n">
        <v>2203.52</v>
      </c>
      <c r="K62" t="n">
        <v>9175.190000000001</v>
      </c>
      <c r="L62" t="n">
        <v>80650.35000000001</v>
      </c>
      <c r="M62" t="n">
        <v>4587.6</v>
      </c>
      <c r="N62" t="n">
        <v>7675.19</v>
      </c>
    </row>
    <row r="63">
      <c r="A63" t="inlineStr">
        <is>
          <t>optimista</t>
        </is>
      </c>
      <c r="B63" t="n">
        <v>13</v>
      </c>
      <c r="C63" t="n">
        <v>6939.51</v>
      </c>
      <c r="D63" t="n">
        <v>40850.71</v>
      </c>
      <c r="E63" t="n">
        <v>868.08</v>
      </c>
      <c r="F63" t="n">
        <v>1335.48</v>
      </c>
      <c r="G63" t="n">
        <v>13449.17</v>
      </c>
      <c r="H63" t="n">
        <v>254.93</v>
      </c>
      <c r="I63" t="n">
        <v>11992.13</v>
      </c>
      <c r="J63" t="n">
        <v>2303.75</v>
      </c>
      <c r="K63" t="n">
        <v>9688.379999999999</v>
      </c>
      <c r="L63" t="n">
        <v>90338.72</v>
      </c>
      <c r="M63" t="n">
        <v>4844.19</v>
      </c>
      <c r="N63" t="n">
        <v>8188.38</v>
      </c>
    </row>
    <row r="64">
      <c r="A64" t="inlineStr">
        <is>
          <t>optimista</t>
        </is>
      </c>
      <c r="B64" t="n">
        <v>14</v>
      </c>
      <c r="C64" t="n">
        <v>6697.69</v>
      </c>
      <c r="D64" t="n">
        <v>41356.35</v>
      </c>
      <c r="E64" t="n">
        <v>878.8200000000001</v>
      </c>
      <c r="F64" t="n">
        <v>1352.01</v>
      </c>
      <c r="G64" t="n">
        <v>13176.43</v>
      </c>
      <c r="H64" t="n">
        <v>246.71</v>
      </c>
      <c r="I64" t="n">
        <v>11748.94</v>
      </c>
      <c r="J64" t="n">
        <v>2259.05</v>
      </c>
      <c r="K64" t="n">
        <v>9489.889999999999</v>
      </c>
      <c r="L64" t="n">
        <v>99828.61</v>
      </c>
      <c r="M64" t="n">
        <v>4744.94</v>
      </c>
      <c r="N64" t="n">
        <v>7989.89</v>
      </c>
    </row>
    <row r="65">
      <c r="A65" t="inlineStr">
        <is>
          <t>optimista</t>
        </is>
      </c>
      <c r="B65" t="n">
        <v>15</v>
      </c>
      <c r="C65" t="n">
        <v>6528.82</v>
      </c>
      <c r="D65" t="n">
        <v>41833.43</v>
      </c>
      <c r="E65" t="n">
        <v>888.96</v>
      </c>
      <c r="F65" t="n">
        <v>1367.61</v>
      </c>
      <c r="G65" t="n">
        <v>13328.43</v>
      </c>
      <c r="H65" t="n">
        <v>246.71</v>
      </c>
      <c r="I65" t="n">
        <v>11884.47</v>
      </c>
      <c r="J65" t="n">
        <v>2279.38</v>
      </c>
      <c r="K65" t="n">
        <v>9605.09</v>
      </c>
      <c r="L65" t="n">
        <v>109433.7</v>
      </c>
      <c r="M65" t="n">
        <v>4802.54</v>
      </c>
      <c r="N65" t="n">
        <v>8105.09</v>
      </c>
    </row>
    <row r="66">
      <c r="A66" t="inlineStr">
        <is>
          <t>optimista</t>
        </is>
      </c>
      <c r="B66" t="n">
        <v>16</v>
      </c>
      <c r="C66" t="n">
        <v>6352.9</v>
      </c>
      <c r="D66" t="n">
        <v>42240.33</v>
      </c>
      <c r="E66" t="n">
        <v>897.61</v>
      </c>
      <c r="F66" t="n">
        <v>1380.91</v>
      </c>
      <c r="G66" t="n">
        <v>13906.68</v>
      </c>
      <c r="H66" t="n">
        <v>254.93</v>
      </c>
      <c r="I66" t="n">
        <v>12400.07</v>
      </c>
      <c r="J66" t="n">
        <v>2364.94</v>
      </c>
      <c r="K66" t="n">
        <v>10035.12</v>
      </c>
      <c r="L66" t="n">
        <v>119468.82</v>
      </c>
      <c r="M66" t="n">
        <v>5017.56</v>
      </c>
      <c r="N66" t="n">
        <v>8535.120000000001</v>
      </c>
    </row>
    <row r="67">
      <c r="A67" t="inlineStr">
        <is>
          <t>optimista</t>
        </is>
      </c>
      <c r="B67" t="n">
        <v>17</v>
      </c>
      <c r="C67" t="n">
        <v>6231.82</v>
      </c>
      <c r="D67" t="n">
        <v>42644.48</v>
      </c>
      <c r="E67" t="n">
        <v>906.2</v>
      </c>
      <c r="F67" t="n">
        <v>1394.12</v>
      </c>
      <c r="G67" t="n">
        <v>13586.84</v>
      </c>
      <c r="H67" t="n">
        <v>246.71</v>
      </c>
      <c r="I67" t="n">
        <v>12114.88</v>
      </c>
      <c r="J67" t="n">
        <v>2313.94</v>
      </c>
      <c r="K67" t="n">
        <v>9800.940000000001</v>
      </c>
      <c r="L67" t="n">
        <v>129269.76</v>
      </c>
      <c r="M67" t="n">
        <v>4900.47</v>
      </c>
      <c r="N67" t="n">
        <v>8300.940000000001</v>
      </c>
    </row>
    <row r="68">
      <c r="A68" t="inlineStr">
        <is>
          <t>optimista</t>
        </is>
      </c>
      <c r="B68" t="n">
        <v>18</v>
      </c>
      <c r="C68" t="n">
        <v>6239.71</v>
      </c>
      <c r="D68" t="n">
        <v>43131.13</v>
      </c>
      <c r="E68" t="n">
        <v>916.54</v>
      </c>
      <c r="F68" t="n">
        <v>1410.03</v>
      </c>
      <c r="G68" t="n">
        <v>14199.95</v>
      </c>
      <c r="H68" t="n">
        <v>254.93</v>
      </c>
      <c r="I68" t="n">
        <v>12661.57</v>
      </c>
      <c r="J68" t="n">
        <v>2404.17</v>
      </c>
      <c r="K68" t="n">
        <v>10257.4</v>
      </c>
      <c r="L68" t="n">
        <v>139527.16</v>
      </c>
      <c r="M68" t="n">
        <v>5128.7</v>
      </c>
      <c r="N68" t="n">
        <v>8757.4</v>
      </c>
    </row>
    <row r="69">
      <c r="A69" t="inlineStr">
        <is>
          <t>optimista</t>
        </is>
      </c>
      <c r="B69" t="n">
        <v>19</v>
      </c>
      <c r="C69" t="n">
        <v>6106.96</v>
      </c>
      <c r="D69" t="n">
        <v>43484.69</v>
      </c>
      <c r="E69" t="n">
        <v>924.05</v>
      </c>
      <c r="F69" t="n">
        <v>1421.59</v>
      </c>
      <c r="G69" t="n">
        <v>13854.54</v>
      </c>
      <c r="H69" t="n">
        <v>246.71</v>
      </c>
      <c r="I69" t="n">
        <v>12353.58</v>
      </c>
      <c r="J69" t="n">
        <v>2349.75</v>
      </c>
      <c r="K69" t="n">
        <v>10003.83</v>
      </c>
      <c r="L69" t="n">
        <v>149530.99</v>
      </c>
      <c r="M69" t="n">
        <v>5001.91</v>
      </c>
      <c r="N69" t="n">
        <v>8503.83</v>
      </c>
    </row>
    <row r="70">
      <c r="A70" t="inlineStr">
        <is>
          <t>optimista</t>
        </is>
      </c>
      <c r="B70" t="n">
        <v>20</v>
      </c>
      <c r="C70" t="n">
        <v>5963.26</v>
      </c>
      <c r="D70" t="n">
        <v>43745.8</v>
      </c>
      <c r="E70" t="n">
        <v>929.6</v>
      </c>
      <c r="F70" t="n">
        <v>1430.12</v>
      </c>
      <c r="G70" t="n">
        <v>13937.73</v>
      </c>
      <c r="H70" t="n">
        <v>246.71</v>
      </c>
      <c r="I70" t="n">
        <v>12427.76</v>
      </c>
      <c r="J70" t="n">
        <v>2360.87</v>
      </c>
      <c r="K70" t="n">
        <v>10066.88</v>
      </c>
      <c r="L70" t="n">
        <v>159597.87</v>
      </c>
      <c r="M70" t="n">
        <v>5033.44</v>
      </c>
      <c r="N70" t="n">
        <v>8566.879999999999</v>
      </c>
    </row>
    <row r="71">
      <c r="A71" t="inlineStr">
        <is>
          <t>optimista</t>
        </is>
      </c>
      <c r="B71" t="n">
        <v>21</v>
      </c>
      <c r="C71" t="n">
        <v>5821.74</v>
      </c>
      <c r="D71" t="n">
        <v>43976.3</v>
      </c>
      <c r="E71" t="n">
        <v>934.5</v>
      </c>
      <c r="F71" t="n">
        <v>1437.66</v>
      </c>
      <c r="G71" t="n">
        <v>14478.2</v>
      </c>
      <c r="H71" t="n">
        <v>254.93</v>
      </c>
      <c r="I71" t="n">
        <v>12909.68</v>
      </c>
      <c r="J71" t="n">
        <v>2441.39</v>
      </c>
      <c r="K71" t="n">
        <v>10468.29</v>
      </c>
      <c r="L71" t="n">
        <v>170066.16</v>
      </c>
      <c r="M71" t="n">
        <v>5234.15</v>
      </c>
      <c r="N71" t="n">
        <v>8968.290000000001</v>
      </c>
    </row>
    <row r="72">
      <c r="A72" t="inlineStr">
        <is>
          <t>optimista</t>
        </is>
      </c>
      <c r="B72" t="n">
        <v>22</v>
      </c>
      <c r="C72" t="n">
        <v>5715.12</v>
      </c>
      <c r="D72" t="n">
        <v>44201.26</v>
      </c>
      <c r="E72" t="n">
        <v>939.28</v>
      </c>
      <c r="F72" t="n">
        <v>1445.01</v>
      </c>
      <c r="G72" t="n">
        <v>14082.84</v>
      </c>
      <c r="H72" t="n">
        <v>246.71</v>
      </c>
      <c r="I72" t="n">
        <v>12557.15</v>
      </c>
      <c r="J72" t="n">
        <v>2380.28</v>
      </c>
      <c r="K72" t="n">
        <v>10176.86</v>
      </c>
      <c r="L72" t="n">
        <v>180243.02</v>
      </c>
      <c r="M72" t="n">
        <v>5088.43</v>
      </c>
      <c r="N72" t="n">
        <v>8676.860000000001</v>
      </c>
    </row>
    <row r="73">
      <c r="A73" t="inlineStr">
        <is>
          <t>optimista</t>
        </is>
      </c>
      <c r="B73" t="n">
        <v>23</v>
      </c>
      <c r="C73" t="n">
        <v>5588.49</v>
      </c>
      <c r="D73" t="n">
        <v>44376.65</v>
      </c>
      <c r="E73" t="n">
        <v>943</v>
      </c>
      <c r="F73" t="n">
        <v>1450.75</v>
      </c>
      <c r="G73" t="n">
        <v>14610.01</v>
      </c>
      <c r="H73" t="n">
        <v>254.93</v>
      </c>
      <c r="I73" t="n">
        <v>13027.21</v>
      </c>
      <c r="J73" t="n">
        <v>2459.02</v>
      </c>
      <c r="K73" t="n">
        <v>10568.19</v>
      </c>
      <c r="L73" t="n">
        <v>190811.22</v>
      </c>
      <c r="M73" t="n">
        <v>5284.1</v>
      </c>
      <c r="N73" t="n">
        <v>9068.190000000001</v>
      </c>
    </row>
    <row r="74">
      <c r="A74" t="inlineStr">
        <is>
          <t>optimista</t>
        </is>
      </c>
      <c r="B74" t="n">
        <v>24</v>
      </c>
      <c r="C74" t="n">
        <v>5670.63</v>
      </c>
      <c r="D74" t="n">
        <v>44768.25</v>
      </c>
      <c r="E74" t="n">
        <v>951.33</v>
      </c>
      <c r="F74" t="n">
        <v>1463.55</v>
      </c>
      <c r="G74" t="n">
        <v>14263.49</v>
      </c>
      <c r="H74" t="n">
        <v>246.71</v>
      </c>
      <c r="I74" t="n">
        <v>12718.22</v>
      </c>
      <c r="J74" t="n">
        <v>2404.44</v>
      </c>
      <c r="K74" t="n">
        <v>10313.78</v>
      </c>
      <c r="L74" t="n">
        <v>201124.99</v>
      </c>
      <c r="M74" t="n">
        <v>5156.89</v>
      </c>
      <c r="N74" t="n">
        <v>8813.780000000001</v>
      </c>
    </row>
    <row r="75">
      <c r="A75" t="inlineStr">
        <is>
          <t>excepcional</t>
        </is>
      </c>
      <c r="B75" t="n">
        <v>1</v>
      </c>
      <c r="C75" t="n">
        <v>7928.55</v>
      </c>
      <c r="D75" t="n">
        <v>20833.2</v>
      </c>
      <c r="E75" t="n">
        <v>494.79</v>
      </c>
      <c r="F75" t="n">
        <v>761.2</v>
      </c>
      <c r="G75" t="n">
        <v>3244.65</v>
      </c>
      <c r="H75" t="n">
        <v>1009.87</v>
      </c>
      <c r="I75" t="n">
        <v>2893.13</v>
      </c>
      <c r="J75" t="n">
        <v>1259.87</v>
      </c>
      <c r="K75" t="n">
        <v>1633.26</v>
      </c>
      <c r="L75" t="n">
        <v>-676.74</v>
      </c>
      <c r="M75" t="n">
        <v>816.63</v>
      </c>
      <c r="N75" t="n">
        <v>133.26</v>
      </c>
    </row>
    <row r="76">
      <c r="A76" t="inlineStr">
        <is>
          <t>excepcional</t>
        </is>
      </c>
      <c r="B76" t="n">
        <v>2</v>
      </c>
      <c r="C76" t="n">
        <v>6253.7</v>
      </c>
      <c r="D76" t="n">
        <v>27006.06</v>
      </c>
      <c r="E76" t="n">
        <v>641.39</v>
      </c>
      <c r="F76" t="n">
        <v>986.74</v>
      </c>
      <c r="G76" t="n">
        <v>4070.35</v>
      </c>
      <c r="H76" t="n">
        <v>493.42</v>
      </c>
      <c r="I76" t="n">
        <v>3629.38</v>
      </c>
      <c r="J76" t="n">
        <v>1106.36</v>
      </c>
      <c r="K76" t="n">
        <v>2523.02</v>
      </c>
      <c r="L76" t="n">
        <v>1846.29</v>
      </c>
      <c r="M76" t="n">
        <v>1261.51</v>
      </c>
      <c r="N76" t="n">
        <v>1023.02</v>
      </c>
    </row>
    <row r="77">
      <c r="A77" t="inlineStr">
        <is>
          <t>excepcional</t>
        </is>
      </c>
      <c r="B77" t="n">
        <v>3</v>
      </c>
      <c r="C77" t="n">
        <v>18089.43</v>
      </c>
      <c r="D77" t="n">
        <v>48156.7</v>
      </c>
      <c r="E77" t="n">
        <v>1143.72</v>
      </c>
      <c r="F77" t="n">
        <v>1759.54</v>
      </c>
      <c r="G77" t="n">
        <v>7500.12</v>
      </c>
      <c r="H77" t="n">
        <v>509.87</v>
      </c>
      <c r="I77" t="n">
        <v>6687.58</v>
      </c>
      <c r="J77" t="n">
        <v>1428.63</v>
      </c>
      <c r="K77" t="n">
        <v>5258.95</v>
      </c>
      <c r="L77" t="n">
        <v>7105.24</v>
      </c>
      <c r="M77" t="n">
        <v>2629.48</v>
      </c>
      <c r="N77" t="n">
        <v>3758.95</v>
      </c>
    </row>
    <row r="78">
      <c r="A78" t="inlineStr">
        <is>
          <t>excepcional</t>
        </is>
      </c>
      <c r="B78" t="n">
        <v>4</v>
      </c>
      <c r="C78" t="n">
        <v>85728.89999999999</v>
      </c>
      <c r="D78" t="n">
        <v>281180.01</v>
      </c>
      <c r="E78" t="n">
        <v>6678.03</v>
      </c>
      <c r="F78" t="n">
        <v>10273.69</v>
      </c>
      <c r="G78" t="n">
        <v>42379.45</v>
      </c>
      <c r="H78" t="n">
        <v>493.42</v>
      </c>
      <c r="I78" t="n">
        <v>37788.19</v>
      </c>
      <c r="J78" t="n">
        <v>6411.65</v>
      </c>
      <c r="K78" t="n">
        <v>31376.54</v>
      </c>
      <c r="L78" t="n">
        <v>38481.77</v>
      </c>
      <c r="M78" t="n">
        <v>15688.27</v>
      </c>
      <c r="N78" t="n">
        <v>29876.54</v>
      </c>
    </row>
    <row r="79">
      <c r="A79" t="inlineStr">
        <is>
          <t>excepcional</t>
        </is>
      </c>
      <c r="B79" t="n">
        <v>5</v>
      </c>
      <c r="C79" t="n">
        <v>27625.27</v>
      </c>
      <c r="D79" t="n">
        <v>221060.99</v>
      </c>
      <c r="E79" t="n">
        <v>5250.2</v>
      </c>
      <c r="F79" t="n">
        <v>8077.08</v>
      </c>
      <c r="G79" t="n">
        <v>33318.31</v>
      </c>
      <c r="H79" t="n">
        <v>493.42</v>
      </c>
      <c r="I79" t="n">
        <v>29708.7</v>
      </c>
      <c r="J79" t="n">
        <v>5199.73</v>
      </c>
      <c r="K79" t="n">
        <v>24508.98</v>
      </c>
      <c r="L79" t="n">
        <v>62990.75</v>
      </c>
      <c r="M79" t="n">
        <v>12254.49</v>
      </c>
      <c r="N79" t="n">
        <v>23008.98</v>
      </c>
    </row>
    <row r="80">
      <c r="A80" t="inlineStr">
        <is>
          <t>excepcional</t>
        </is>
      </c>
      <c r="B80" t="n">
        <v>6</v>
      </c>
      <c r="C80" t="n">
        <v>14706.94</v>
      </c>
      <c r="D80" t="n">
        <v>178197.1</v>
      </c>
      <c r="E80" t="n">
        <v>4232.18</v>
      </c>
      <c r="F80" t="n">
        <v>6510.93</v>
      </c>
      <c r="G80" t="n">
        <v>27753.13</v>
      </c>
      <c r="H80" t="n">
        <v>509.87</v>
      </c>
      <c r="I80" t="n">
        <v>24746.44</v>
      </c>
      <c r="J80" t="n">
        <v>4471.83</v>
      </c>
      <c r="K80" t="n">
        <v>20274.6</v>
      </c>
      <c r="L80" t="n">
        <v>83265.35000000001</v>
      </c>
      <c r="M80" t="n">
        <v>10137.3</v>
      </c>
      <c r="N80" t="n">
        <v>18774.6</v>
      </c>
    </row>
    <row r="81">
      <c r="A81" t="inlineStr">
        <is>
          <t>excepcional</t>
        </is>
      </c>
      <c r="B81" t="n">
        <v>7</v>
      </c>
      <c r="C81" t="n">
        <v>11542.99</v>
      </c>
      <c r="D81" t="n">
        <v>158288.33</v>
      </c>
      <c r="E81" t="n">
        <v>3759.35</v>
      </c>
      <c r="F81" t="n">
        <v>5783.5</v>
      </c>
      <c r="G81" t="n">
        <v>23857.22</v>
      </c>
      <c r="H81" t="n">
        <v>493.42</v>
      </c>
      <c r="I81" t="n">
        <v>21272.6</v>
      </c>
      <c r="J81" t="n">
        <v>3934.31</v>
      </c>
      <c r="K81" t="n">
        <v>17338.29</v>
      </c>
      <c r="L81" t="n">
        <v>100603.64</v>
      </c>
      <c r="M81" t="n">
        <v>8669.139999999999</v>
      </c>
      <c r="N81" t="n">
        <v>15838.29</v>
      </c>
    </row>
    <row r="82">
      <c r="A82" t="inlineStr">
        <is>
          <t>excepcional</t>
        </is>
      </c>
      <c r="B82" t="n">
        <v>8</v>
      </c>
      <c r="C82" t="n">
        <v>10438.12</v>
      </c>
      <c r="D82" t="n">
        <v>148325.51</v>
      </c>
      <c r="E82" t="n">
        <v>3522.73</v>
      </c>
      <c r="F82" t="n">
        <v>5419.49</v>
      </c>
      <c r="G82" t="n">
        <v>23100.81</v>
      </c>
      <c r="H82" t="n">
        <v>509.87</v>
      </c>
      <c r="I82" t="n">
        <v>20598.14</v>
      </c>
      <c r="J82" t="n">
        <v>3849.59</v>
      </c>
      <c r="K82" t="n">
        <v>16748.55</v>
      </c>
      <c r="L82" t="n">
        <v>117352.19</v>
      </c>
      <c r="M82" t="n">
        <v>8374.27</v>
      </c>
      <c r="N82" t="n">
        <v>15248.55</v>
      </c>
    </row>
    <row r="83">
      <c r="A83" t="inlineStr">
        <is>
          <t>excepcional</t>
        </is>
      </c>
      <c r="B83" t="n">
        <v>9</v>
      </c>
      <c r="C83" t="n">
        <v>9873.049999999999</v>
      </c>
      <c r="D83" t="n">
        <v>142730.98</v>
      </c>
      <c r="E83" t="n">
        <v>3389.86</v>
      </c>
      <c r="F83" t="n">
        <v>5215.07</v>
      </c>
      <c r="G83" t="n">
        <v>21512.41</v>
      </c>
      <c r="H83" t="n">
        <v>493.42</v>
      </c>
      <c r="I83" t="n">
        <v>19181.82</v>
      </c>
      <c r="J83" t="n">
        <v>3620.69</v>
      </c>
      <c r="K83" t="n">
        <v>15561.13</v>
      </c>
      <c r="L83" t="n">
        <v>132913.31</v>
      </c>
      <c r="M83" t="n">
        <v>7780.56</v>
      </c>
      <c r="N83" t="n">
        <v>14061.13</v>
      </c>
    </row>
    <row r="84">
      <c r="A84" t="inlineStr">
        <is>
          <t>excepcional</t>
        </is>
      </c>
      <c r="B84" t="n">
        <v>10</v>
      </c>
      <c r="C84" t="n">
        <v>9507.33</v>
      </c>
      <c r="D84" t="n">
        <v>139393.71</v>
      </c>
      <c r="E84" t="n">
        <v>3310.6</v>
      </c>
      <c r="F84" t="n">
        <v>5093.14</v>
      </c>
      <c r="G84" t="n">
        <v>21009.42</v>
      </c>
      <c r="H84" t="n">
        <v>493.42</v>
      </c>
      <c r="I84" t="n">
        <v>18733.32</v>
      </c>
      <c r="J84" t="n">
        <v>3553.42</v>
      </c>
      <c r="K84" t="n">
        <v>15179.9</v>
      </c>
      <c r="L84" t="n">
        <v>148093.22</v>
      </c>
      <c r="M84" t="n">
        <v>7589.95</v>
      </c>
      <c r="N84" t="n">
        <v>13679.9</v>
      </c>
    </row>
    <row r="85">
      <c r="A85" t="inlineStr">
        <is>
          <t>excepcional</t>
        </is>
      </c>
      <c r="B85" t="n">
        <v>11</v>
      </c>
      <c r="C85" t="n">
        <v>9177.4</v>
      </c>
      <c r="D85" t="n">
        <v>137136.91</v>
      </c>
      <c r="E85" t="n">
        <v>3257</v>
      </c>
      <c r="F85" t="n">
        <v>5010.68</v>
      </c>
      <c r="G85" t="n">
        <v>21358.25</v>
      </c>
      <c r="H85" t="n">
        <v>509.87</v>
      </c>
      <c r="I85" t="n">
        <v>19044.36</v>
      </c>
      <c r="J85" t="n">
        <v>3616.52</v>
      </c>
      <c r="K85" t="n">
        <v>15427.84</v>
      </c>
      <c r="L85" t="n">
        <v>163521.05</v>
      </c>
      <c r="M85" t="n">
        <v>7713.92</v>
      </c>
      <c r="N85" t="n">
        <v>13927.84</v>
      </c>
    </row>
    <row r="86">
      <c r="A86" t="inlineStr">
        <is>
          <t>excepcional</t>
        </is>
      </c>
      <c r="B86" t="n">
        <v>12</v>
      </c>
      <c r="C86" t="n">
        <v>9037.77</v>
      </c>
      <c r="D86" t="n">
        <v>135748.2</v>
      </c>
      <c r="E86" t="n">
        <v>3224.02</v>
      </c>
      <c r="F86" t="n">
        <v>4959.94</v>
      </c>
      <c r="G86" t="n">
        <v>20459.97</v>
      </c>
      <c r="H86" t="n">
        <v>493.42</v>
      </c>
      <c r="I86" t="n">
        <v>18243.4</v>
      </c>
      <c r="J86" t="n">
        <v>3479.93</v>
      </c>
      <c r="K86" t="n">
        <v>14763.47</v>
      </c>
      <c r="L86" t="n">
        <v>178284.52</v>
      </c>
      <c r="M86" t="n">
        <v>7381.73</v>
      </c>
      <c r="N86" t="n">
        <v>13263.47</v>
      </c>
    </row>
    <row r="87">
      <c r="A87" t="inlineStr">
        <is>
          <t>excepcional</t>
        </is>
      </c>
      <c r="B87" t="n">
        <v>13</v>
      </c>
      <c r="C87" t="n">
        <v>8873.559999999999</v>
      </c>
      <c r="D87" t="n">
        <v>134823.54</v>
      </c>
      <c r="E87" t="n">
        <v>3202.06</v>
      </c>
      <c r="F87" t="n">
        <v>4926.15</v>
      </c>
      <c r="G87" t="n">
        <v>20997.96</v>
      </c>
      <c r="H87" t="n">
        <v>509.87</v>
      </c>
      <c r="I87" t="n">
        <v>18723.1</v>
      </c>
      <c r="J87" t="n">
        <v>3568.33</v>
      </c>
      <c r="K87" t="n">
        <v>15154.77</v>
      </c>
      <c r="L87" t="n">
        <v>193439.29</v>
      </c>
      <c r="M87" t="n">
        <v>7577.38</v>
      </c>
      <c r="N87" t="n">
        <v>13654.77</v>
      </c>
    </row>
    <row r="88">
      <c r="A88" t="inlineStr">
        <is>
          <t>excepcional</t>
        </is>
      </c>
      <c r="B88" t="n">
        <v>14</v>
      </c>
      <c r="C88" t="n">
        <v>8578.84</v>
      </c>
      <c r="D88" t="n">
        <v>133998.77</v>
      </c>
      <c r="E88" t="n">
        <v>3182.47</v>
      </c>
      <c r="F88" t="n">
        <v>4896.02</v>
      </c>
      <c r="G88" t="n">
        <v>20196.29</v>
      </c>
      <c r="H88" t="n">
        <v>493.42</v>
      </c>
      <c r="I88" t="n">
        <v>18008.29</v>
      </c>
      <c r="J88" t="n">
        <v>3444.66</v>
      </c>
      <c r="K88" t="n">
        <v>14563.62</v>
      </c>
      <c r="L88" t="n">
        <v>208002.91</v>
      </c>
      <c r="M88" t="n">
        <v>7281.81</v>
      </c>
      <c r="N88" t="n">
        <v>13063.62</v>
      </c>
    </row>
    <row r="89">
      <c r="A89" t="inlineStr">
        <is>
          <t>excepcional</t>
        </is>
      </c>
      <c r="B89" t="n">
        <v>15</v>
      </c>
      <c r="C89" t="n">
        <v>8358.5</v>
      </c>
      <c r="D89" t="n">
        <v>133423.27</v>
      </c>
      <c r="E89" t="n">
        <v>3168.8</v>
      </c>
      <c r="F89" t="n">
        <v>4874.99</v>
      </c>
      <c r="G89" t="n">
        <v>20109.56</v>
      </c>
      <c r="H89" t="n">
        <v>493.42</v>
      </c>
      <c r="I89" t="n">
        <v>17930.95</v>
      </c>
      <c r="J89" t="n">
        <v>3433.06</v>
      </c>
      <c r="K89" t="n">
        <v>14497.88</v>
      </c>
      <c r="L89" t="n">
        <v>222500.79</v>
      </c>
      <c r="M89" t="n">
        <v>7248.94</v>
      </c>
      <c r="N89" t="n">
        <v>12997.88</v>
      </c>
    </row>
    <row r="90">
      <c r="A90" t="inlineStr">
        <is>
          <t>excepcional</t>
        </is>
      </c>
      <c r="B90" t="n">
        <v>16</v>
      </c>
      <c r="C90" t="n">
        <v>8136.46</v>
      </c>
      <c r="D90" t="n">
        <v>132959.52</v>
      </c>
      <c r="E90" t="n">
        <v>3157.79</v>
      </c>
      <c r="F90" t="n">
        <v>4858.05</v>
      </c>
      <c r="G90" t="n">
        <v>20707.65</v>
      </c>
      <c r="H90" t="n">
        <v>509.87</v>
      </c>
      <c r="I90" t="n">
        <v>18464.24</v>
      </c>
      <c r="J90" t="n">
        <v>3529.5</v>
      </c>
      <c r="K90" t="n">
        <v>14934.74</v>
      </c>
      <c r="L90" t="n">
        <v>237435.53</v>
      </c>
      <c r="M90" t="n">
        <v>7467.37</v>
      </c>
      <c r="N90" t="n">
        <v>13434.74</v>
      </c>
    </row>
    <row r="91">
      <c r="A91" t="inlineStr">
        <is>
          <t>excepcional</t>
        </is>
      </c>
      <c r="B91" t="n">
        <v>17</v>
      </c>
      <c r="C91" t="n">
        <v>7967.82</v>
      </c>
      <c r="D91" t="n">
        <v>132635.49</v>
      </c>
      <c r="E91" t="n">
        <v>3150.09</v>
      </c>
      <c r="F91" t="n">
        <v>4846.21</v>
      </c>
      <c r="G91" t="n">
        <v>19990.82</v>
      </c>
      <c r="H91" t="n">
        <v>493.42</v>
      </c>
      <c r="I91" t="n">
        <v>17825.07</v>
      </c>
      <c r="J91" t="n">
        <v>3417.18</v>
      </c>
      <c r="K91" t="n">
        <v>14407.89</v>
      </c>
      <c r="L91" t="n">
        <v>251843.42</v>
      </c>
      <c r="M91" t="n">
        <v>7203.95</v>
      </c>
      <c r="N91" t="n">
        <v>12907.89</v>
      </c>
    </row>
    <row r="92">
      <c r="A92" t="inlineStr">
        <is>
          <t>excepcional</t>
        </is>
      </c>
      <c r="B92" t="n">
        <v>18</v>
      </c>
      <c r="C92" t="n">
        <v>7916.87</v>
      </c>
      <c r="D92" t="n">
        <v>132495.95</v>
      </c>
      <c r="E92" t="n">
        <v>3146.78</v>
      </c>
      <c r="F92" t="n">
        <v>4841.11</v>
      </c>
      <c r="G92" t="n">
        <v>20635.45</v>
      </c>
      <c r="H92" t="n">
        <v>509.87</v>
      </c>
      <c r="I92" t="n">
        <v>18399.87</v>
      </c>
      <c r="J92" t="n">
        <v>3519.85</v>
      </c>
      <c r="K92" t="n">
        <v>14880.02</v>
      </c>
      <c r="L92" t="n">
        <v>266723.44</v>
      </c>
      <c r="M92" t="n">
        <v>7440.01</v>
      </c>
      <c r="N92" t="n">
        <v>13380.02</v>
      </c>
    </row>
    <row r="93">
      <c r="A93" t="inlineStr">
        <is>
          <t>excepcional</t>
        </is>
      </c>
      <c r="B93" t="n">
        <v>19</v>
      </c>
      <c r="C93" t="n">
        <v>7744.19</v>
      </c>
      <c r="D93" t="n">
        <v>132343.48</v>
      </c>
      <c r="E93" t="n">
        <v>3143.16</v>
      </c>
      <c r="F93" t="n">
        <v>4835.54</v>
      </c>
      <c r="G93" t="n">
        <v>19946.81</v>
      </c>
      <c r="H93" t="n">
        <v>493.42</v>
      </c>
      <c r="I93" t="n">
        <v>17785.83</v>
      </c>
      <c r="J93" t="n">
        <v>3411.3</v>
      </c>
      <c r="K93" t="n">
        <v>14374.54</v>
      </c>
      <c r="L93" t="n">
        <v>281097.97</v>
      </c>
      <c r="M93" t="n">
        <v>7187.27</v>
      </c>
      <c r="N93" t="n">
        <v>12874.54</v>
      </c>
    </row>
    <row r="94">
      <c r="A94" t="inlineStr">
        <is>
          <t>excepcional</t>
        </is>
      </c>
      <c r="B94" t="n">
        <v>20</v>
      </c>
      <c r="C94" t="n">
        <v>7564.71</v>
      </c>
      <c r="D94" t="n">
        <v>132170.73</v>
      </c>
      <c r="E94" t="n">
        <v>3139.05</v>
      </c>
      <c r="F94" t="n">
        <v>4829.23</v>
      </c>
      <c r="G94" t="n">
        <v>19920.77</v>
      </c>
      <c r="H94" t="n">
        <v>493.42</v>
      </c>
      <c r="I94" t="n">
        <v>17762.62</v>
      </c>
      <c r="J94" t="n">
        <v>3407.81</v>
      </c>
      <c r="K94" t="n">
        <v>14354.8</v>
      </c>
      <c r="L94" t="n">
        <v>295452.78</v>
      </c>
      <c r="M94" t="n">
        <v>7177.4</v>
      </c>
      <c r="N94" t="n">
        <v>12854.8</v>
      </c>
    </row>
    <row r="95">
      <c r="A95" t="inlineStr">
        <is>
          <t>excepcional</t>
        </is>
      </c>
      <c r="B95" t="n">
        <v>21</v>
      </c>
      <c r="C95" t="n">
        <v>7388.49</v>
      </c>
      <c r="D95" t="n">
        <v>132013.54</v>
      </c>
      <c r="E95" t="n">
        <v>3135.32</v>
      </c>
      <c r="F95" t="n">
        <v>4823.48</v>
      </c>
      <c r="G95" t="n">
        <v>20560.32</v>
      </c>
      <c r="H95" t="n">
        <v>509.87</v>
      </c>
      <c r="I95" t="n">
        <v>18332.87</v>
      </c>
      <c r="J95" t="n">
        <v>3509.8</v>
      </c>
      <c r="K95" t="n">
        <v>14823.07</v>
      </c>
      <c r="L95" t="n">
        <v>310275.85</v>
      </c>
      <c r="M95" t="n">
        <v>7411.54</v>
      </c>
      <c r="N95" t="n">
        <v>13323.07</v>
      </c>
    </row>
    <row r="96">
      <c r="A96" t="inlineStr">
        <is>
          <t>excepcional</t>
        </is>
      </c>
      <c r="B96" t="n">
        <v>22</v>
      </c>
      <c r="C96" t="n">
        <v>7244.67</v>
      </c>
      <c r="D96" t="n">
        <v>131884.91</v>
      </c>
      <c r="E96" t="n">
        <v>3132.27</v>
      </c>
      <c r="F96" t="n">
        <v>4818.78</v>
      </c>
      <c r="G96" t="n">
        <v>19877.69</v>
      </c>
      <c r="H96" t="n">
        <v>493.42</v>
      </c>
      <c r="I96" t="n">
        <v>17724.2</v>
      </c>
      <c r="J96" t="n">
        <v>3402.05</v>
      </c>
      <c r="K96" t="n">
        <v>14322.15</v>
      </c>
      <c r="L96" t="n">
        <v>324598</v>
      </c>
      <c r="M96" t="n">
        <v>7161.08</v>
      </c>
      <c r="N96" t="n">
        <v>12822.15</v>
      </c>
    </row>
    <row r="97">
      <c r="A97" t="inlineStr">
        <is>
          <t>excepcional</t>
        </is>
      </c>
      <c r="B97" t="n">
        <v>23</v>
      </c>
      <c r="C97" t="n">
        <v>7085</v>
      </c>
      <c r="D97" t="n">
        <v>131743.48</v>
      </c>
      <c r="E97" t="n">
        <v>3128.91</v>
      </c>
      <c r="F97" t="n">
        <v>4813.61</v>
      </c>
      <c r="G97" t="n">
        <v>20518.26</v>
      </c>
      <c r="H97" t="n">
        <v>509.87</v>
      </c>
      <c r="I97" t="n">
        <v>18295.37</v>
      </c>
      <c r="J97" t="n">
        <v>3504.17</v>
      </c>
      <c r="K97" t="n">
        <v>14791.19</v>
      </c>
      <c r="L97" t="n">
        <v>339389.2</v>
      </c>
      <c r="M97" t="n">
        <v>7395.6</v>
      </c>
      <c r="N97" t="n">
        <v>13291.19</v>
      </c>
    </row>
    <row r="98">
      <c r="A98" t="inlineStr">
        <is>
          <t>excepcional</t>
        </is>
      </c>
      <c r="B98" t="n">
        <v>24</v>
      </c>
      <c r="C98" t="n">
        <v>7108.28</v>
      </c>
      <c r="D98" t="n">
        <v>131823.4</v>
      </c>
      <c r="E98" t="n">
        <v>3130.81</v>
      </c>
      <c r="F98" t="n">
        <v>4816.53</v>
      </c>
      <c r="G98" t="n">
        <v>19868.42</v>
      </c>
      <c r="H98" t="n">
        <v>493.42</v>
      </c>
      <c r="I98" t="n">
        <v>17715.94</v>
      </c>
      <c r="J98" t="n">
        <v>3400.81</v>
      </c>
      <c r="K98" t="n">
        <v>14315.12</v>
      </c>
      <c r="L98" t="n">
        <v>353704.32</v>
      </c>
      <c r="M98" t="n">
        <v>7157.56</v>
      </c>
      <c r="N98" t="n">
        <v>12815.12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Matriz de decisión ponderada (edita pesos y puntuaciones)</t>
        </is>
      </c>
    </row>
    <row r="2">
      <c r="A2" s="2" t="inlineStr">
        <is>
          <t>Criterio</t>
        </is>
      </c>
      <c r="B2" s="2" t="inlineStr">
        <is>
          <t>Peso</t>
        </is>
      </c>
      <c r="C2" s="4" t="inlineStr">
        <is>
          <t>C1 Carreras callejeras mundo abierto + reputación</t>
        </is>
      </c>
      <c r="D2" s="4" t="inlineStr">
        <is>
          <t>C2 Arcade de personalización / car meets</t>
        </is>
      </c>
      <c r="E2" s="4" t="inlineStr">
        <is>
          <t>C3 PvP clasificatorio por temporadas</t>
        </is>
      </c>
      <c r="F2" s="4" t="inlineStr">
        <is>
          <t>C4 De coche barato a hiperdeportivo (colección/tycoon)</t>
        </is>
      </c>
      <c r="G2" s="4" t="inlineStr">
        <is>
          <t>C5 Mundo abierto social / roleplay</t>
        </is>
      </c>
      <c r="H2" s="4" t="inlineStr">
        <is>
          <t>C6 Street racing por crews + persecuciones (híbrido)</t>
        </is>
      </c>
    </row>
    <row r="3">
      <c r="A3" t="inlineStr">
        <is>
          <t>Facilidad de captación (CTR/PTR)</t>
        </is>
      </c>
      <c r="B3" s="3" t="n">
        <v>10</v>
      </c>
      <c r="C3" s="3" t="n">
        <v>8</v>
      </c>
      <c r="D3" s="3" t="n">
        <v>6</v>
      </c>
      <c r="E3" s="3" t="n">
        <v>5</v>
      </c>
      <c r="F3" s="3" t="n">
        <v>7</v>
      </c>
      <c r="G3" s="3" t="n">
        <v>7</v>
      </c>
      <c r="H3" s="3" t="n">
        <v>7</v>
      </c>
    </row>
    <row r="4">
      <c r="A4" t="inlineStr">
        <is>
          <t>Potencial de retención (D1-D28)</t>
        </is>
      </c>
      <c r="B4" s="3" t="n">
        <v>16</v>
      </c>
      <c r="C4" s="3" t="n">
        <v>6</v>
      </c>
      <c r="D4" s="3" t="n">
        <v>5</v>
      </c>
      <c r="E4" s="3" t="n">
        <v>6</v>
      </c>
      <c r="F4" s="3" t="n">
        <v>7</v>
      </c>
      <c r="G4" s="3" t="n">
        <v>6</v>
      </c>
      <c r="H4" s="3" t="n">
        <v>8</v>
      </c>
    </row>
    <row r="5">
      <c r="A5" t="inlineStr">
        <is>
          <t>Potencial de monetización</t>
        </is>
      </c>
      <c r="B5" s="3" t="n">
        <v>12</v>
      </c>
      <c r="C5" s="3" t="n">
        <v>7</v>
      </c>
      <c r="D5" s="3" t="n">
        <v>8</v>
      </c>
      <c r="E5" s="3" t="n">
        <v>4</v>
      </c>
      <c r="F5" s="3" t="n">
        <v>8</v>
      </c>
      <c r="G5" s="3" t="n">
        <v>6</v>
      </c>
      <c r="H5" s="3" t="n">
        <v>7</v>
      </c>
    </row>
    <row r="6">
      <c r="A6" t="inlineStr">
        <is>
          <t>Viralidad y co-juego</t>
        </is>
      </c>
      <c r="B6" s="3" t="n">
        <v>8</v>
      </c>
      <c r="C6" s="3" t="n">
        <v>6</v>
      </c>
      <c r="D6" s="3" t="n">
        <v>7</v>
      </c>
      <c r="E6" s="3" t="n">
        <v>6</v>
      </c>
      <c r="F6" s="3" t="n">
        <v>4</v>
      </c>
      <c r="G6" s="3" t="n">
        <v>5</v>
      </c>
      <c r="H6" s="3" t="n">
        <v>8</v>
      </c>
    </row>
    <row r="7">
      <c r="A7" t="inlineStr">
        <is>
          <t>Originalidad / diferenciación</t>
        </is>
      </c>
      <c r="B7" s="3" t="n">
        <v>8</v>
      </c>
      <c r="C7" s="3" t="n">
        <v>5</v>
      </c>
      <c r="D7" s="3" t="n">
        <v>6</v>
      </c>
      <c r="E7" s="3" t="n">
        <v>6</v>
      </c>
      <c r="F7" s="3" t="n">
        <v>3</v>
      </c>
      <c r="G7" s="3" t="n">
        <v>2</v>
      </c>
      <c r="H7" s="3" t="n">
        <v>8</v>
      </c>
    </row>
    <row r="8">
      <c r="A8" t="inlineStr">
        <is>
          <t>Viabilidad técnica (inversa a complejidad)</t>
        </is>
      </c>
      <c r="B8" s="3" t="n">
        <v>10</v>
      </c>
      <c r="C8" s="3" t="n">
        <v>4</v>
      </c>
      <c r="D8" s="3" t="n">
        <v>6</v>
      </c>
      <c r="E8" s="3" t="n">
        <v>5</v>
      </c>
      <c r="F8" s="3" t="n">
        <v>6</v>
      </c>
      <c r="G8" s="3" t="n">
        <v>3</v>
      </c>
      <c r="H8" s="3" t="n">
        <v>5</v>
      </c>
    </row>
    <row r="9">
      <c r="A9" t="inlineStr">
        <is>
          <t>Contenido necesario (inverso)</t>
        </is>
      </c>
      <c r="B9" s="3" t="n">
        <v>8</v>
      </c>
      <c r="C9" s="3" t="n">
        <v>4</v>
      </c>
      <c r="D9" s="3" t="n">
        <v>5</v>
      </c>
      <c r="E9" s="3" t="n">
        <v>7</v>
      </c>
      <c r="F9" s="3" t="n">
        <v>4</v>
      </c>
      <c r="G9" s="3" t="n">
        <v>3</v>
      </c>
      <c r="H9" s="3" t="n">
        <v>6</v>
      </c>
    </row>
    <row r="10">
      <c r="A10" t="inlineStr">
        <is>
          <t>Tiempo de desarrollo (inverso)</t>
        </is>
      </c>
      <c r="B10" s="3" t="n">
        <v>8</v>
      </c>
      <c r="C10" s="3" t="n">
        <v>4</v>
      </c>
      <c r="D10" s="3" t="n">
        <v>6</v>
      </c>
      <c r="E10" s="3" t="n">
        <v>7</v>
      </c>
      <c r="F10" s="3" t="n">
        <v>6</v>
      </c>
      <c r="G10" s="3" t="n">
        <v>3</v>
      </c>
      <c r="H10" s="3" t="n">
        <v>6</v>
      </c>
    </row>
    <row r="11">
      <c r="A11" t="inlineStr">
        <is>
          <t>Riesgo de ejecución (inverso)</t>
        </is>
      </c>
      <c r="B11" s="3" t="n">
        <v>6</v>
      </c>
      <c r="C11" s="3" t="n">
        <v>5</v>
      </c>
      <c r="D11" s="3" t="n">
        <v>5</v>
      </c>
      <c r="E11" s="3" t="n">
        <v>4</v>
      </c>
      <c r="F11" s="3" t="n">
        <v>5</v>
      </c>
      <c r="G11" s="3" t="n">
        <v>4</v>
      </c>
      <c r="H11" s="3" t="n">
        <v>5</v>
      </c>
    </row>
    <row r="12">
      <c r="A12" t="inlineStr">
        <is>
          <t>Competencia directa (inversa)</t>
        </is>
      </c>
      <c r="B12" s="3" t="n">
        <v>8</v>
      </c>
      <c r="C12" s="3" t="n">
        <v>4</v>
      </c>
      <c r="D12" s="3" t="n">
        <v>6</v>
      </c>
      <c r="E12" s="3" t="n">
        <v>7</v>
      </c>
      <c r="F12" s="3" t="n">
        <v>3</v>
      </c>
      <c r="G12" s="3" t="n">
        <v>2</v>
      </c>
      <c r="H12" s="3" t="n">
        <v>7</v>
      </c>
    </row>
    <row r="13">
      <c r="A13" t="inlineStr">
        <is>
          <t>Potencial de crecimiento</t>
        </is>
      </c>
      <c r="B13" s="3" t="n">
        <v>6</v>
      </c>
      <c r="C13" s="3" t="n">
        <v>8</v>
      </c>
      <c r="D13" s="3" t="n">
        <v>6</v>
      </c>
      <c r="E13" s="3" t="n">
        <v>5</v>
      </c>
      <c r="F13" s="3" t="n">
        <v>6</v>
      </c>
      <c r="G13" s="3" t="n">
        <v>7</v>
      </c>
      <c r="H13" s="3" t="n">
        <v>8</v>
      </c>
    </row>
    <row r="14">
      <c r="A14" s="2" t="inlineStr">
        <is>
          <t>Puntuación 0-100</t>
        </is>
      </c>
      <c r="C14">
        <f>SUMPRODUCT($B$3:$B$13,C3:C13)/SUM($B$3:$B$13)*10</f>
        <v/>
      </c>
      <c r="D14">
        <f>SUMPRODUCT($B$3:$B$13,D3:D13)/SUM($B$3:$B$13)*10</f>
        <v/>
      </c>
      <c r="E14">
        <f>SUMPRODUCT($B$3:$B$13,E3:E13)/SUM($B$3:$B$13)*10</f>
        <v/>
      </c>
      <c r="F14">
        <f>SUMPRODUCT($B$3:$B$13,F3:F13)/SUM($B$3:$B$13)*10</f>
        <v/>
      </c>
      <c r="G14">
        <f>SUMPRODUCT($B$3:$B$13,G3:G13)/SUM($B$3:$B$13)*10</f>
        <v/>
      </c>
      <c r="H14">
        <f>SUMPRODUCT($B$3:$B$13,H3:H13)/SUM($B$3:$B$13)*10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Tiempo para el primer coche de cada clase (créditos y horas; edita precios e ingresos)</t>
        </is>
      </c>
    </row>
    <row r="2">
      <c r="A2" s="2" t="inlineStr">
        <is>
          <t>Clase</t>
        </is>
      </c>
      <c r="B2" s="2" t="inlineStr">
        <is>
          <t>Precio coche</t>
        </is>
      </c>
      <c r="C2" s="2" t="inlineStr">
        <is>
          <t>Ingreso/hora en clase previa</t>
        </is>
      </c>
      <c r="D2" s="2" t="inlineStr">
        <is>
          <t>Misiones (créditos/h)</t>
        </is>
      </c>
      <c r="E2" s="2" t="inlineStr">
        <is>
          <t>% en mejoras</t>
        </is>
      </c>
      <c r="F2" s="2" t="inlineStr">
        <is>
          <t>Bono inicial</t>
        </is>
      </c>
      <c r="G2" s="2" t="inlineStr">
        <is>
          <t>Horas tramo</t>
        </is>
      </c>
      <c r="H2" s="2" t="inlineStr">
        <is>
          <t>Horas acumuladas</t>
        </is>
      </c>
    </row>
    <row r="3">
      <c r="A3" t="inlineStr">
        <is>
          <t>C</t>
        </is>
      </c>
      <c r="B3" s="3" t="n">
        <v>70000</v>
      </c>
      <c r="C3" s="3" t="n">
        <v>32000</v>
      </c>
      <c r="D3" s="3" t="n">
        <v>8000</v>
      </c>
      <c r="E3" s="3" t="n">
        <v>0.15</v>
      </c>
      <c r="F3" s="3" t="n">
        <v>15000</v>
      </c>
      <c r="G3">
        <f>(B3-F3)/((C3+D3)*(1-E3))</f>
        <v/>
      </c>
      <c r="H3">
        <f>SUM($G$3:G3)</f>
        <v/>
      </c>
    </row>
    <row r="4">
      <c r="A4" t="inlineStr">
        <is>
          <t>B</t>
        </is>
      </c>
      <c r="B4" s="3" t="n">
        <v>230000</v>
      </c>
      <c r="C4" s="3" t="n">
        <v>58000</v>
      </c>
      <c r="D4" s="3" t="n">
        <v>8000</v>
      </c>
      <c r="E4" s="3" t="n">
        <v>0.25</v>
      </c>
      <c r="F4" s="3" t="n">
        <v>0</v>
      </c>
      <c r="G4">
        <f>(B4-F4)/((C4+D4)*(1-E4))</f>
        <v/>
      </c>
      <c r="H4">
        <f>SUM($G$3:G4)</f>
        <v/>
      </c>
    </row>
    <row r="5">
      <c r="A5" t="inlineStr">
        <is>
          <t>A</t>
        </is>
      </c>
      <c r="B5" s="3" t="n">
        <v>1000000</v>
      </c>
      <c r="C5" s="3" t="n">
        <v>100000</v>
      </c>
      <c r="D5" s="3" t="n">
        <v>8000</v>
      </c>
      <c r="E5" s="3" t="n">
        <v>0.3</v>
      </c>
      <c r="F5" s="3" t="n">
        <v>0</v>
      </c>
      <c r="G5">
        <f>(B5-F5)/((C5+D5)*(1-E5))</f>
        <v/>
      </c>
      <c r="H5">
        <f>SUM($G$3:G5)</f>
        <v/>
      </c>
    </row>
    <row r="6">
      <c r="A6" t="inlineStr">
        <is>
          <t>S</t>
        </is>
      </c>
      <c r="B6" s="3" t="n">
        <v>4000000</v>
      </c>
      <c r="C6" s="3" t="n">
        <v>170000</v>
      </c>
      <c r="D6" s="3" t="n">
        <v>8000</v>
      </c>
      <c r="E6" s="3" t="n">
        <v>0.3</v>
      </c>
      <c r="F6" s="3" t="n">
        <v>0</v>
      </c>
      <c r="G6">
        <f>(B6-F6)/((C6+D6)*(1-E6))</f>
        <v/>
      </c>
      <c r="H6">
        <f>SUM($G$3:G6)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5" max="5"/>
  </cols>
  <sheetData>
    <row r="1">
      <c r="A1" t="inlineStr">
        <is>
          <t>juego</t>
        </is>
      </c>
      <c r="B1" t="inlineStr">
        <is>
          <t>ccu_instantanea</t>
        </is>
      </c>
      <c r="C1" t="inlineStr">
        <is>
          <t>visitas</t>
        </is>
      </c>
      <c r="D1" t="inlineStr">
        <is>
          <t>pico_historico</t>
        </is>
      </c>
      <c r="E1" t="inlineStr">
        <is>
          <t>fuente_fecha</t>
        </is>
      </c>
    </row>
    <row r="2">
      <c r="A2" t="inlineStr">
        <is>
          <t>Driving Empire</t>
        </is>
      </c>
      <c r="B2" t="n">
        <v>29001</v>
      </c>
      <c r="C2" t="n">
        <v>3368000000</v>
      </c>
      <c r="D2" t="n">
        <v>89566</v>
      </c>
      <c r="E2" t="inlineStr">
        <is>
          <t>Rolimons ~18-10-2026</t>
        </is>
      </c>
    </row>
    <row r="3">
      <c r="A3" t="inlineStr">
        <is>
          <t>Emergency Hamburg</t>
        </is>
      </c>
      <c r="B3" t="n">
        <v>16460</v>
      </c>
      <c r="C3" t="n">
        <v>1220000000</v>
      </c>
      <c r="D3" t="n">
        <v>84100</v>
      </c>
      <c r="E3" t="inlineStr">
        <is>
          <t>RoWatcher, sin fecha</t>
        </is>
      </c>
    </row>
    <row r="4">
      <c r="A4" t="inlineStr">
        <is>
          <t>A Dusty Trip</t>
        </is>
      </c>
      <c r="B4" t="n">
        <v>9375</v>
      </c>
      <c r="C4" t="n">
        <v>2500000000</v>
      </c>
      <c r="E4" t="inlineStr">
        <is>
          <t>Rotrends, jul-ago 2026</t>
        </is>
      </c>
    </row>
    <row r="5">
      <c r="A5" t="inlineStr">
        <is>
          <t>Car Driving Indonesia</t>
        </is>
      </c>
      <c r="B5" t="n">
        <v>6700</v>
      </c>
      <c r="C5" t="n">
        <v>426000000</v>
      </c>
      <c r="E5" t="inlineStr">
        <is>
          <t>Earnaldo, jul-sep 2026 (6,7-13 k)</t>
        </is>
      </c>
    </row>
    <row r="6">
      <c r="A6" t="inlineStr">
        <is>
          <t>Jailbreak</t>
        </is>
      </c>
      <c r="B6" t="n">
        <v>10000</v>
      </c>
      <c r="C6" t="n">
        <v>7989000000</v>
      </c>
      <c r="D6" t="n">
        <v>173000</v>
      </c>
      <c r="E6" t="inlineStr">
        <is>
          <t>RoWatcher/AllThingsHow, jul-ago 2026</t>
        </is>
      </c>
    </row>
    <row r="7">
      <c r="A7" t="inlineStr">
        <is>
          <t>Taxi Boss</t>
        </is>
      </c>
      <c r="B7" t="n">
        <v>8555</v>
      </c>
      <c r="C7" t="n">
        <v>842000000</v>
      </c>
      <c r="D7" t="n">
        <v>20700</v>
      </c>
      <c r="E7" t="inlineStr">
        <is>
          <t>Rolimons, sin fecha</t>
        </is>
      </c>
    </row>
    <row r="8">
      <c r="A8" t="inlineStr">
        <is>
          <t>WRONG WAY (rally coop)</t>
        </is>
      </c>
      <c r="B8" t="n">
        <v>7000</v>
      </c>
      <c r="C8" t="n">
        <v>4100000</v>
      </c>
      <c r="D8" t="n">
        <v>14000</v>
      </c>
      <c r="E8" t="inlineStr">
        <is>
          <t>RoWatcher, oct-2026</t>
        </is>
      </c>
    </row>
    <row r="9">
      <c r="A9" t="inlineStr">
        <is>
          <t>Car Crushers 2</t>
        </is>
      </c>
      <c r="B9" t="n">
        <v>5679</v>
      </c>
      <c r="C9" t="n">
        <v>1400000000</v>
      </c>
      <c r="D9" t="n">
        <v>22900</v>
      </c>
      <c r="E9" t="inlineStr">
        <is>
          <t>Rotrends, sin fecha</t>
        </is>
      </c>
    </row>
    <row r="10">
      <c r="A10" t="inlineStr">
        <is>
          <t>Midnight Chasers</t>
        </is>
      </c>
      <c r="B10" t="n">
        <v>5455</v>
      </c>
      <c r="C10" t="n">
        <v>308800000</v>
      </c>
      <c r="D10" t="n">
        <v>16800</v>
      </c>
      <c r="E10" t="inlineStr">
        <is>
          <t>Rotrends, sep-2026</t>
        </is>
      </c>
    </row>
    <row r="11">
      <c r="A11" t="inlineStr">
        <is>
          <t>Greenville</t>
        </is>
      </c>
      <c r="B11" t="n">
        <v>4442</v>
      </c>
      <c r="C11" t="n">
        <v>1411000000</v>
      </c>
      <c r="D11" t="n">
        <v>34133</v>
      </c>
      <c r="E11" t="inlineStr">
        <is>
          <t>Rolimons, sin fecha</t>
        </is>
      </c>
    </row>
    <row r="12">
      <c r="A12" t="inlineStr">
        <is>
          <t>Vehicle Legends</t>
        </is>
      </c>
      <c r="B12" t="n">
        <v>2910</v>
      </c>
      <c r="C12" t="n">
        <v>1900000000</v>
      </c>
      <c r="D12" t="n">
        <v>29700</v>
      </c>
      <c r="E12" t="inlineStr">
        <is>
          <t>Rolimons/tracker, jul-2026</t>
        </is>
      </c>
    </row>
    <row r="13">
      <c r="A13" t="inlineStr">
        <is>
          <t>Car Dealership Tycoon</t>
        </is>
      </c>
      <c r="B13" t="n">
        <v>2891</v>
      </c>
      <c r="C13" t="n">
        <v>2510000000</v>
      </c>
      <c r="D13" t="n">
        <v>66726</v>
      </c>
      <c r="E13" t="inlineStr">
        <is>
          <t>Rolimons, sin fecha</t>
        </is>
      </c>
    </row>
    <row r="14">
      <c r="A14" t="inlineStr">
        <is>
          <t>Rally Panic! (coop)</t>
        </is>
      </c>
      <c r="B14" t="n">
        <v>1773</v>
      </c>
      <c r="C14" t="n">
        <v>1700000</v>
      </c>
      <c r="E14" t="inlineStr">
        <is>
          <t>Earnaldo, 12-10-2026</t>
        </is>
      </c>
    </row>
    <row r="15">
      <c r="A15" t="inlineStr">
        <is>
          <t>Southwest Florida</t>
        </is>
      </c>
      <c r="B15" t="n">
        <v>1180</v>
      </c>
      <c r="C15" t="n">
        <v>779300000</v>
      </c>
      <c r="D15" t="n">
        <v>29500</v>
      </c>
      <c r="E15" t="inlineStr">
        <is>
          <t>Rotrends, ≤ago-2026</t>
        </is>
      </c>
    </row>
    <row r="16">
      <c r="A16" t="inlineStr">
        <is>
          <t>Drive World</t>
        </is>
      </c>
      <c r="B16" t="n">
        <v>1063</v>
      </c>
      <c r="C16" t="n">
        <v>499000000</v>
      </c>
      <c r="D16" t="n">
        <v>24600</v>
      </c>
      <c r="E16" t="inlineStr">
        <is>
          <t>Rotrends, ≤ago-2026</t>
        </is>
      </c>
    </row>
    <row r="17">
      <c r="A17" t="inlineStr">
        <is>
          <t>Midnight Racing: Tokyo</t>
        </is>
      </c>
      <c r="B17" t="n">
        <v>826</v>
      </c>
      <c r="D17" t="n">
        <v>3000</v>
      </c>
      <c r="E17" t="inlineStr">
        <is>
          <t>RoWatcher, 2026</t>
        </is>
      </c>
    </row>
    <row r="18">
      <c r="A18" t="inlineStr">
        <is>
          <t>Project Trackday (sim)</t>
        </is>
      </c>
      <c r="B18" t="n">
        <v>32</v>
      </c>
      <c r="C18" t="n">
        <v>45200000</v>
      </c>
      <c r="D18" t="n">
        <v>408</v>
      </c>
      <c r="E18" t="inlineStr">
        <is>
          <t>RoWatcher,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2026-10-22T08:38:01Z</dcterms:created>
  <dcterms:modified xmlns:dcterms="http://purl.org/dc/terms/" xmlns:xsi="http://www.w3.org/2001/XMLSchema-instance" xsi:type="dcterms:W3CDTF">2026-10-22T08:38:01Z</dcterms:modified>
</cp:coreProperties>
</file>